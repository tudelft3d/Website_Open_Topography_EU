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localadmin/Repos/Website_Open_Topography_EU/scripts/"/>
    </mc:Choice>
  </mc:AlternateContent>
  <xr:revisionPtr revIDLastSave="0" documentId="13_ncr:1_{98E9DC6B-C4F2-DE4A-ACDA-46845B25E36A}" xr6:coauthVersionLast="47" xr6:coauthVersionMax="47" xr10:uidLastSave="{00000000-0000-0000-0000-000000000000}"/>
  <bookViews>
    <workbookView xWindow="0" yWindow="660" windowWidth="30240" windowHeight="17960" xr2:uid="{4BC1C8BB-35EF-4D62-B165-EB1ACD4AD7A7}"/>
  </bookViews>
  <sheets>
    <sheet name="Quality_parameters_v12032026" sheetId="1" r:id="rId1"/>
  </sheets>
  <definedNames>
    <definedName name="_Toc202360145" localSheetId="0">Quality_parameters_v12032026!$AG$59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5" i="1" l="1"/>
  <c r="X75" i="1"/>
  <c r="V75" i="1"/>
  <c r="Z56" i="1"/>
  <c r="X56" i="1"/>
  <c r="V56" i="1"/>
  <c r="Z57" i="1"/>
  <c r="X57" i="1"/>
  <c r="V57" i="1"/>
  <c r="Z118" i="1"/>
  <c r="X118" i="1"/>
  <c r="V118" i="1"/>
  <c r="V114" i="1"/>
  <c r="Z110" i="1"/>
  <c r="X110" i="1"/>
  <c r="V110" i="1"/>
  <c r="Z111" i="1"/>
  <c r="X111" i="1"/>
  <c r="V111" i="1"/>
  <c r="Z112" i="1"/>
  <c r="X112" i="1"/>
  <c r="V112" i="1"/>
  <c r="Z108" i="1"/>
  <c r="X108" i="1"/>
  <c r="V108" i="1"/>
  <c r="Z116" i="1"/>
  <c r="X116" i="1"/>
  <c r="V116" i="1"/>
  <c r="Z38" i="1"/>
  <c r="X38" i="1"/>
  <c r="V38" i="1"/>
  <c r="Z39" i="1"/>
  <c r="X39" i="1"/>
  <c r="V39" i="1"/>
  <c r="Z36" i="1"/>
  <c r="X36" i="1"/>
  <c r="V36" i="1"/>
  <c r="Z31" i="1"/>
  <c r="X31" i="1"/>
  <c r="V31" i="1"/>
  <c r="Z32" i="1"/>
  <c r="X32" i="1"/>
  <c r="V32" i="1"/>
  <c r="Z33" i="1"/>
  <c r="X33" i="1"/>
  <c r="V33" i="1"/>
  <c r="Z28" i="1"/>
  <c r="X28" i="1"/>
  <c r="V28" i="1"/>
  <c r="Z86" i="1"/>
  <c r="X86" i="1"/>
  <c r="V86" i="1"/>
  <c r="Z81" i="1"/>
  <c r="X81" i="1"/>
  <c r="V81" i="1"/>
  <c r="Z82" i="1"/>
  <c r="X82" i="1"/>
  <c r="V82" i="1"/>
  <c r="Z83" i="1"/>
  <c r="X83" i="1"/>
  <c r="V83" i="1"/>
  <c r="Z84" i="1"/>
  <c r="X84" i="1"/>
  <c r="V84" i="1"/>
  <c r="Z21" i="1"/>
  <c r="X21" i="1"/>
  <c r="V21" i="1"/>
  <c r="Z13" i="1"/>
  <c r="X13" i="1"/>
  <c r="V13" i="1"/>
  <c r="Z12" i="1"/>
  <c r="X12" i="1"/>
  <c r="V12" i="1"/>
  <c r="Z54" i="1"/>
  <c r="X54" i="1"/>
  <c r="V54" i="1"/>
  <c r="Z6" i="1"/>
  <c r="X6" i="1"/>
  <c r="V6" i="1"/>
  <c r="Z7" i="1"/>
  <c r="X7" i="1"/>
  <c r="V7" i="1"/>
  <c r="V72" i="1"/>
  <c r="X72" i="1"/>
  <c r="Z60" i="1"/>
  <c r="X60" i="1"/>
  <c r="V60" i="1"/>
  <c r="Z121" i="1"/>
  <c r="X121" i="1"/>
  <c r="V121" i="1"/>
  <c r="V19" i="1"/>
  <c r="V20" i="1"/>
  <c r="V3" i="1"/>
  <c r="V4" i="1"/>
  <c r="V5" i="1"/>
  <c r="V8" i="1"/>
  <c r="V9" i="1"/>
  <c r="V10" i="1"/>
  <c r="V11" i="1"/>
  <c r="V14" i="1"/>
  <c r="V15" i="1"/>
  <c r="V16" i="1"/>
  <c r="V17" i="1"/>
  <c r="V18" i="1"/>
  <c r="V22" i="1"/>
  <c r="V23" i="1"/>
  <c r="V24" i="1"/>
  <c r="V25" i="1"/>
  <c r="V26" i="1"/>
  <c r="V27" i="1"/>
  <c r="V29" i="1"/>
  <c r="V30" i="1"/>
  <c r="V34" i="1"/>
  <c r="V37" i="1"/>
  <c r="V41" i="1"/>
  <c r="V42" i="1"/>
  <c r="V43" i="1"/>
  <c r="V44" i="1"/>
  <c r="V45" i="1"/>
  <c r="V46" i="1"/>
  <c r="V47" i="1"/>
  <c r="V48" i="1"/>
  <c r="V49" i="1"/>
  <c r="V50" i="1"/>
  <c r="V51" i="1"/>
  <c r="V52" i="1"/>
  <c r="V53" i="1"/>
  <c r="V55" i="1"/>
  <c r="V58" i="1"/>
  <c r="V40" i="1"/>
  <c r="V59" i="1"/>
  <c r="V61" i="1"/>
  <c r="V62" i="1"/>
  <c r="V63" i="1"/>
  <c r="V66" i="1"/>
  <c r="V67" i="1"/>
  <c r="V68" i="1"/>
  <c r="V69" i="1"/>
  <c r="V70" i="1"/>
  <c r="V71" i="1"/>
  <c r="V73" i="1"/>
  <c r="V74" i="1"/>
  <c r="V76" i="1"/>
  <c r="V77" i="1"/>
  <c r="V78" i="1"/>
  <c r="V79" i="1"/>
  <c r="V80" i="1"/>
  <c r="V85" i="1"/>
  <c r="V88" i="1"/>
  <c r="V89" i="1"/>
  <c r="V90" i="1"/>
  <c r="V91" i="1"/>
  <c r="V105" i="1"/>
  <c r="V106" i="1"/>
  <c r="V107" i="1"/>
  <c r="V109" i="1"/>
  <c r="V113" i="1"/>
  <c r="V115" i="1"/>
  <c r="V117" i="1"/>
  <c r="V119" i="1"/>
  <c r="V120" i="1"/>
  <c r="V122" i="1"/>
  <c r="V123" i="1"/>
  <c r="V124" i="1"/>
  <c r="V125" i="1"/>
  <c r="Z3" i="1"/>
  <c r="Z4" i="1"/>
  <c r="Z5" i="1"/>
  <c r="Z8" i="1"/>
  <c r="Z9" i="1"/>
  <c r="Z10" i="1"/>
  <c r="Z11" i="1"/>
  <c r="Z14" i="1"/>
  <c r="Z15" i="1"/>
  <c r="Z16" i="1"/>
  <c r="Z17" i="1"/>
  <c r="Z18" i="1"/>
  <c r="Z22" i="1"/>
  <c r="Z23" i="1"/>
  <c r="Z24" i="1"/>
  <c r="Z25" i="1"/>
  <c r="Z26" i="1"/>
  <c r="Z27" i="1"/>
  <c r="Z29" i="1"/>
  <c r="Z30" i="1"/>
  <c r="Z34" i="1"/>
  <c r="Z37" i="1"/>
  <c r="Z41" i="1"/>
  <c r="Z42" i="1"/>
  <c r="Z43" i="1"/>
  <c r="Z44" i="1"/>
  <c r="Z45" i="1"/>
  <c r="Z46" i="1"/>
  <c r="Z47" i="1"/>
  <c r="Z48" i="1"/>
  <c r="Z49" i="1"/>
  <c r="Z50" i="1"/>
  <c r="Z51" i="1"/>
  <c r="Z52" i="1"/>
  <c r="Z53" i="1"/>
  <c r="Z55" i="1"/>
  <c r="Z58" i="1"/>
  <c r="Z40" i="1"/>
  <c r="Z59" i="1"/>
  <c r="Z61" i="1"/>
  <c r="Z62" i="1"/>
  <c r="Z63" i="1"/>
  <c r="Z66" i="1"/>
  <c r="Z67" i="1"/>
  <c r="Z68" i="1"/>
  <c r="Z69" i="1"/>
  <c r="Z70" i="1"/>
  <c r="Z71" i="1"/>
  <c r="Z73" i="1"/>
  <c r="Z74" i="1"/>
  <c r="Z76" i="1"/>
  <c r="Z77" i="1"/>
  <c r="Z78" i="1"/>
  <c r="Z79" i="1"/>
  <c r="Z80" i="1"/>
  <c r="Z85" i="1"/>
  <c r="Z88" i="1"/>
  <c r="Z89" i="1"/>
  <c r="Z90" i="1"/>
  <c r="Z91" i="1"/>
  <c r="Z105" i="1"/>
  <c r="Z106" i="1"/>
  <c r="Z107" i="1"/>
  <c r="Z109" i="1"/>
  <c r="Z113" i="1"/>
  <c r="Z115" i="1"/>
  <c r="Z117" i="1"/>
  <c r="Z119" i="1"/>
  <c r="Z120" i="1"/>
  <c r="Z122" i="1"/>
  <c r="Z123" i="1"/>
  <c r="Z124" i="1"/>
  <c r="Z125" i="1"/>
  <c r="X3" i="1"/>
  <c r="X4" i="1"/>
  <c r="X5" i="1"/>
  <c r="X8" i="1"/>
  <c r="X9" i="1"/>
  <c r="X10" i="1"/>
  <c r="X11" i="1"/>
  <c r="X14" i="1"/>
  <c r="X15" i="1"/>
  <c r="X16" i="1"/>
  <c r="X17" i="1"/>
  <c r="X18" i="1"/>
  <c r="X22" i="1"/>
  <c r="X23" i="1"/>
  <c r="X24" i="1"/>
  <c r="X25" i="1"/>
  <c r="X26" i="1"/>
  <c r="X27" i="1"/>
  <c r="X29" i="1"/>
  <c r="X30" i="1"/>
  <c r="X34" i="1"/>
  <c r="X37" i="1"/>
  <c r="X41" i="1"/>
  <c r="X42" i="1"/>
  <c r="X43" i="1"/>
  <c r="X44" i="1"/>
  <c r="X45" i="1"/>
  <c r="X46" i="1"/>
  <c r="X47" i="1"/>
  <c r="X48" i="1"/>
  <c r="X49" i="1"/>
  <c r="X50" i="1"/>
  <c r="X51" i="1"/>
  <c r="X52" i="1"/>
  <c r="X53" i="1"/>
  <c r="X55" i="1"/>
  <c r="X58" i="1"/>
  <c r="X40" i="1"/>
  <c r="X59" i="1"/>
  <c r="X61" i="1"/>
  <c r="X62" i="1"/>
  <c r="X63" i="1"/>
  <c r="X66" i="1"/>
  <c r="X67" i="1"/>
  <c r="X68" i="1"/>
  <c r="X69" i="1"/>
  <c r="X70" i="1"/>
  <c r="X71" i="1"/>
  <c r="X73" i="1"/>
  <c r="X74" i="1"/>
  <c r="X76" i="1"/>
  <c r="X77" i="1"/>
  <c r="X78" i="1"/>
  <c r="X79" i="1"/>
  <c r="X80" i="1"/>
  <c r="X85" i="1"/>
  <c r="X88" i="1"/>
  <c r="X89" i="1"/>
  <c r="X90" i="1"/>
  <c r="X91" i="1"/>
  <c r="X105" i="1"/>
  <c r="X106" i="1"/>
  <c r="X107" i="1"/>
  <c r="X109" i="1"/>
  <c r="X113" i="1"/>
  <c r="X115" i="1"/>
  <c r="X117" i="1"/>
  <c r="X119" i="1"/>
  <c r="X120" i="1"/>
  <c r="X122" i="1"/>
  <c r="X123" i="1"/>
  <c r="X124" i="1"/>
  <c r="X125" i="1"/>
  <c r="Z2" i="1"/>
  <c r="X2" i="1"/>
  <c r="V2" i="1"/>
</calcChain>
</file>

<file path=xl/sharedStrings.xml><?xml version="1.0" encoding="utf-8"?>
<sst xmlns="http://schemas.openxmlformats.org/spreadsheetml/2006/main" count="2469" uniqueCount="790">
  <si>
    <t>ADM</t>
  </si>
  <si>
    <t>main_country</t>
  </si>
  <si>
    <t>Name</t>
  </si>
  <si>
    <t>Questionnaire</t>
  </si>
  <si>
    <t>XY Ref</t>
  </si>
  <si>
    <t>Z Ref</t>
  </si>
  <si>
    <t>Data</t>
  </si>
  <si>
    <t>Type</t>
  </si>
  <si>
    <t>National</t>
  </si>
  <si>
    <t>Urban</t>
  </si>
  <si>
    <t>Avg_dens</t>
  </si>
  <si>
    <t>Planimetric</t>
  </si>
  <si>
    <t>AVG_plan</t>
  </si>
  <si>
    <t>Altimetric</t>
  </si>
  <si>
    <t>AVG_alti</t>
  </si>
  <si>
    <t>update</t>
  </si>
  <si>
    <t>Info</t>
  </si>
  <si>
    <t>Albania</t>
  </si>
  <si>
    <t>No information about LiDAR point clouds is openly available for this country. If such data becomes available, the site will be updated accordingly.</t>
  </si>
  <si>
    <t>Andorra</t>
  </si>
  <si>
    <t>Austria</t>
  </si>
  <si>
    <t>WGS 84 / UTM zone 33N (EPSG 32633).</t>
  </si>
  <si>
    <t>Region</t>
  </si>
  <si>
    <t xml:space="preserve">Based on the latests research, the Bundesamt für Eich- und Vermessungswesen (BEV), the responsible mapping agency in Austria, has no national point cloud or point cloud elevation model is available.. If data becomes avialble, we will promtly update the site accordingly. Please look into the regional data, shown on the map, for the point cloud information on Austria. </t>
  </si>
  <si>
    <t>Wien</t>
  </si>
  <si>
    <t>Online</t>
  </si>
  <si>
    <t>Pointcloud</t>
  </si>
  <si>
    <t>Once</t>
  </si>
  <si>
    <t>https://www.wien.gv.at/stadtentwicklung/stadtvermessung/geodaten/mobile-mapping/produkt.html</t>
  </si>
  <si>
    <t xml:space="preserve">The municipality and city of Vienna have point clouds available: acquired by the air and mobile laser scanning. </t>
  </si>
  <si>
    <t>Niederösterreich</t>
  </si>
  <si>
    <t>https://www.noe.gv.at/noe/Karten-Geoinformationen/Karten-Geoinformationen.html</t>
  </si>
  <si>
    <t>Oberösterreich</t>
  </si>
  <si>
    <t>wo.doris.at/weboffice/synserver?project=weboffice&amp;client=core&amp;user=guest&amp;scale=2500&amp;x=72349&amp;y=353858&amp;coordmarker_x_y=72349 353858&amp;coordmarker_id=pin_point</t>
  </si>
  <si>
    <t>Steiermark</t>
  </si>
  <si>
    <t>ALS</t>
  </si>
  <si>
    <t>https://www.landesentwicklung.steiermark.at/cms/beitrag/12850529/143660187/</t>
  </si>
  <si>
    <t>An open point cloud dataset covering this area is available. Detailed information and access to the dataset can be found in the regional data room.</t>
  </si>
  <si>
    <t>Tirol</t>
  </si>
  <si>
    <t>DEM</t>
  </si>
  <si>
    <t>Kärnten</t>
  </si>
  <si>
    <t>https://kagis.ktn.gv.at/Geodaten/H%c3%b6hendaten%20-%20Download</t>
  </si>
  <si>
    <t>Salzburg</t>
  </si>
  <si>
    <t>Vorarlberg</t>
  </si>
  <si>
    <t>Burgenland</t>
  </si>
  <si>
    <t>https://geodaten.bgld.gv.at/de/downloads/hoehenmodelle-orthofotos.html</t>
  </si>
  <si>
    <t>Belarus</t>
  </si>
  <si>
    <t>Belgium</t>
  </si>
  <si>
    <t xml:space="preserve">Based on the latest research, Belgium has no (harmonised) national point cloud dataset available, but it is divided into three regions: Flanders, Wallonia, and Brussels.  If data becomes available, we will promptly provide the national data information, shown on the map, for the point cloud information on Belgium. </t>
  </si>
  <si>
    <t>Bruxelles</t>
  </si>
  <si>
    <t xml:space="preserve">Belgium Lambert72 (EPSG 31370) </t>
  </si>
  <si>
    <t>https://datastore.brussels/web/data/dataset/ff1124e1-424e-11ee-b156-00090ffe0001</t>
  </si>
  <si>
    <r>
      <rPr>
        <sz val="7"/>
        <color theme="1"/>
        <rFont val="Times New Roman"/>
        <family val="1"/>
      </rPr>
      <t xml:space="preserve"> </t>
    </r>
    <r>
      <rPr>
        <sz val="11"/>
        <color theme="1"/>
        <rFont val="Times New Roman"/>
        <family val="1"/>
      </rPr>
      <t xml:space="preserve">The point cloud dataset of Brussels was acquired in April 2012 and October 2021. The data was acquired to create a city model, initially for a LoD2 and the second acquisition to build a digital twin of the city (Perello, 2024), (Brussels-Capital Region, 2023). </t>
    </r>
  </si>
  <si>
    <t>Vlaanderen</t>
  </si>
  <si>
    <r>
      <t xml:space="preserve">The point cloud dataset is called the Digitaal Hoogtemodel Vlaanderen (DHV). The point cloud dataset is acquired by ALS and is divided into different </t>
    </r>
    <r>
      <rPr>
        <i/>
        <sz val="11"/>
        <color theme="1"/>
        <rFont val="Times New Roman"/>
        <family val="1"/>
      </rPr>
      <t>NGI</t>
    </r>
    <r>
      <rPr>
        <sz val="11"/>
        <color theme="1"/>
        <rFont val="Times New Roman"/>
        <family val="1"/>
      </rPr>
      <t xml:space="preserve"> </t>
    </r>
    <r>
      <rPr>
        <i/>
        <sz val="11"/>
        <color theme="1"/>
        <rFont val="Times New Roman"/>
        <family val="1"/>
      </rPr>
      <t>kaartbladen</t>
    </r>
    <r>
      <rPr>
        <sz val="11"/>
        <color theme="1"/>
        <rFont val="Times New Roman"/>
        <family val="1"/>
      </rPr>
      <t>, with 43 smaller areas. The point cloud dataset of Flanders is a harmonised point cloud dataset from the same acquisition platform</t>
    </r>
  </si>
  <si>
    <t>Wallonie</t>
  </si>
  <si>
    <t>The point cloud data set of Wallonia is called the Service public de Wallonie. The point cloud dataset was acquired by ALS and is divided into six different blocks. The point cloud dataset of Wallonia is a harmonised point cloud dataset from the same acquisition platform. The point cloud dataset is available in LAS 1.2-1.4 and can be downloaded in LAZ</t>
  </si>
  <si>
    <t>Bosnia and Herzegovina</t>
  </si>
  <si>
    <t>Bulgaria</t>
  </si>
  <si>
    <t>Croatia</t>
  </si>
  <si>
    <t>-</t>
  </si>
  <si>
    <t>No</t>
  </si>
  <si>
    <t>Lidar data from the multi-sensor aerial survey of the Republic of Croatia were collected for disaster risk reduction assessment. The State Geodetic Administration (SGA) of Croatia acquired the data. The dataset is not available through an online platform but can be accessed via physical storage (hard disk). Based on the response to the questionnaire, the initial acquisition covering the entire territory of Croatia has been completed, with plans to repeat the acquisition every five years</t>
  </si>
  <si>
    <t>Cyprus</t>
  </si>
  <si>
    <t>Czechia</t>
  </si>
  <si>
    <t>S-JTSK / Krovak East North (EPSG 5514)</t>
  </si>
  <si>
    <t>https://geoportal.cuzk.cz/(S(cnecbknewnpugy55t0ifgc0v))/Default.aspx?mode=TextMeta&amp;metadataXSL=full&amp;side=vyskopis&amp;metadataID=CZ-CUZK-DMR5G-V</t>
  </si>
  <si>
    <r>
      <t xml:space="preserve">The Czech Republic has no point cloud dataset that is freely accessible to the public, only the ALS-derived digital elevation model. The </t>
    </r>
    <r>
      <rPr>
        <i/>
        <sz val="11"/>
        <color theme="1"/>
        <rFont val="Times New Roman"/>
        <family val="1"/>
      </rPr>
      <t>Digitální model reliéfu České republiky</t>
    </r>
    <r>
      <rPr>
        <sz val="11"/>
        <color theme="1"/>
        <rFont val="Times New Roman"/>
        <family val="1"/>
      </rPr>
      <t xml:space="preserve"> (DRM) is available in different generations, e.g. fourth (4G) and 5</t>
    </r>
    <r>
      <rPr>
        <vertAlign val="superscript"/>
        <sz val="11"/>
        <color theme="1"/>
        <rFont val="Times New Roman"/>
        <family val="1"/>
      </rPr>
      <t>th</t>
    </r>
    <r>
      <rPr>
        <sz val="11"/>
        <color theme="1"/>
        <rFont val="Times New Roman"/>
        <family val="1"/>
      </rPr>
      <t xml:space="preserve"> generation (5G). Based on the DMR 5G quality report, the LiDAR acquisition was conducted at an elevation of 1200m and 1400m (Leitmannová, Gálová, &amp; Michalík, 2017).</t>
    </r>
  </si>
  <si>
    <t>Denmark</t>
  </si>
  <si>
    <t>ETRS89 (EPSG: 25832)</t>
  </si>
  <si>
    <t>DVR90</t>
  </si>
  <si>
    <t>https://dataforsyningen.dk/data/930#</t>
  </si>
  <si>
    <t xml:space="preserve">Denmark's national point cloud acquisition campaign is the ’Danmarks Hojdemodel (DHM)’. The dataset is available as open data; however, you need to register to download the data through the Danish geo portal. The acquisition is conducted five-yearly, covering 1/5 of Denmark each year. The point cloud is acquired in 5 blocks and integrated into one national dataset (Danish Agency for Data Supply and Efficiency, 2020).  </t>
  </si>
  <si>
    <t>Estonia</t>
  </si>
  <si>
    <t>Estonian Coordinate System of 1997 (EPSG: 3301)</t>
  </si>
  <si>
    <t>EH2000 (EPSG:5621)</t>
  </si>
  <si>
    <t>https://geoportaal.maaamet.ee/eng/spatial-data/elevation-data-p308.html</t>
  </si>
  <si>
    <t xml:space="preserve">The Estonian national point cloud dataset is collected in a 4-year cycle, except for the regions of Tallinn, Tartu and Pärnu areas, which are acquired in a 2-year cycle (Maa-ja Ruumiamet, 2020) &amp; (Maa-ja Ruumiamet, 2025). There are four versions available as open data: ALS1 (2008-2011), ALS-II (2012-2015), ALS III (2017 -2020) and ALS IV (2021-2024). Tallinn, Tartu and Pärnu regions are acquired at a low altitude (1200m) compared to the national dataset (2000m or 2600m). These datasets are integrated into one national dataset and released per update cycle. To meet the requirements of the forest department, a high-altitude point cloud was acquired. The national mapping agency published Table 15 about the quality parameters based on the flight altitude (Maa-jaRuumiamet, 2020) (Maa-ja Ruumiamet, 2025). </t>
  </si>
  <si>
    <t>Finland</t>
  </si>
  <si>
    <t>ETRS-TM35FIN (EPSG:3067)</t>
  </si>
  <si>
    <t>N2000 (EPSG:3900)</t>
  </si>
  <si>
    <t xml:space="preserve">https://www.maanmittauslaitos.fi/en/maps-and-spatial-data/datasets-and-interfaces/product-descriptions/laser-scanning-data-5-p </t>
  </si>
  <si>
    <r>
      <t xml:space="preserve">Finland's national point cloud dataset, </t>
    </r>
    <r>
      <rPr>
        <i/>
        <sz val="11"/>
        <color theme="1"/>
        <rFont val="Times New Roman"/>
        <family val="1"/>
      </rPr>
      <t>Laserkeilausaineisto</t>
    </r>
    <r>
      <rPr>
        <sz val="11"/>
        <color theme="1"/>
        <rFont val="Times New Roman"/>
        <family val="1"/>
      </rPr>
      <t xml:space="preserve">, is acquired by the National Land Survey of Finland (NLS). The dataset is available in two versions, based on point density (National Land Survey of Finland, 2019) &amp; (National Land Survey of Finland, 2025) namely the </t>
    </r>
    <r>
      <rPr>
        <i/>
        <sz val="11"/>
        <color theme="1"/>
        <rFont val="Times New Roman"/>
        <family val="1"/>
      </rPr>
      <t>0.5p</t>
    </r>
    <r>
      <rPr>
        <sz val="11"/>
        <color theme="1"/>
        <rFont val="Times New Roman"/>
        <family val="1"/>
      </rPr>
      <t xml:space="preserve"> and </t>
    </r>
    <r>
      <rPr>
        <i/>
        <sz val="11"/>
        <color theme="1"/>
        <rFont val="Times New Roman"/>
        <family val="1"/>
      </rPr>
      <t>5p</t>
    </r>
    <r>
      <rPr>
        <sz val="11"/>
        <color theme="1"/>
        <rFont val="Times New Roman"/>
        <family val="1"/>
      </rPr>
      <t>. The 5p point cloud dataset can be accessed, but it can involve additional downloading costs. The point cloud is provided in the LAS 2.0 format and uses the ETRS-TM35FIN coordinate system (EPSG:3067) with the N2000 height system (EPSG:3900).</t>
    </r>
  </si>
  <si>
    <t>France</t>
  </si>
  <si>
    <t>RGF93 (EPSG:2154)</t>
  </si>
  <si>
    <t>IGN 1969 (EPSG: 5720)</t>
  </si>
  <si>
    <t>https://geoservices.ign.fr/lidarhd</t>
  </si>
  <si>
    <r>
      <t>In France, the</t>
    </r>
    <r>
      <rPr>
        <i/>
        <sz val="11"/>
        <color theme="1"/>
        <rFont val="Times New Roman"/>
        <family val="1"/>
      </rPr>
      <t xml:space="preserve"> Institut national de l'information géographique et forestière </t>
    </r>
    <r>
      <rPr>
        <sz val="11"/>
        <color theme="1"/>
        <rFont val="Times New Roman"/>
        <family val="1"/>
      </rPr>
      <t xml:space="preserve">(IGN) is responsible for acquiring and distributing point cloud data. There are three LiDAR point cloud datasets available in France: (1) national DEM, (2) LiDAR Haute density (HD) and (3) the bathymetric dataset Litto3D. The National DEM is unavailable as a point cloud dataset, but LiDAR and photogrammetric acquisition methods are used to acquire the dataset.  The Lidar-Haute density (HD) program will have a point cloud dataset by 2026 covering metropolitan France, the departments and overseas regions (except French Guiana). The HD program covers multiple areas and uses various reference systems for the LiDAR data. The mainland on the European continent has a geodetic system (XY) RGF93 (Lambert 93), while the altimetric system is IGN 1969. </t>
    </r>
  </si>
  <si>
    <t>Germany</t>
  </si>
  <si>
    <t>ETRS89 / UTM Zone 32 or 33 (EPSG:25832)</t>
  </si>
  <si>
    <t>DHHN2016 (EPSG:7837)</t>
  </si>
  <si>
    <t xml:space="preserve">In Germany, the availability of point cloud datasets is divided between the federal government and the Bundesländer (federal states), reflecting a distinction between national and regional scopes. Several datasets were identified in Germany that are available as open-access point cloud data. All elevation or point cloud datasets are acquired using the ETRS89 / UTM Zone 32 or 33 coordinate systems. For vertical reference, data acquired before 2017 use the DHHN92 height system, while data acquired from 2017 onwards use DHHN2016.
The availability of point cloud datasets across the Bundesländer is shown in Figure 11. Note that the federal dataset is not included in this figure; however, the entire country is acquired through acquisitions by federal institutions. The online inventory did not find a harmonised point cloud dataset where all the regional point cloud datasets made available by the Bündnerländern are aligned. </t>
  </si>
  <si>
    <t>Brandenburg</t>
  </si>
  <si>
    <t>https://data.geobasis-bb.de/geobasis/daten/als/laz/</t>
  </si>
  <si>
    <t>Baden-Württemberg</t>
  </si>
  <si>
    <t>Bayern</t>
  </si>
  <si>
    <t>https://www.vermessung.bayern.de/produkte/landschaftsinformationen/laser.html#:~:text=Datenbezug</t>
  </si>
  <si>
    <t>Berlin</t>
  </si>
  <si>
    <t>https://gdi.berlin.de/geonetwork/srv/api/records/85a97801-36bb-4627-8790-f5e53b1e38b3</t>
  </si>
  <si>
    <t>Bremen</t>
  </si>
  <si>
    <t>https://metaver.de/trefferanzeige?docuuid=9AEAE758-FC12-4D9E-AF5E-68537A678588</t>
  </si>
  <si>
    <t>Hamburg</t>
  </si>
  <si>
    <t>https://metaver.de/trefferanzeige?docuuid=A39B4E86-15E2-4BF7-BA82-66F9913D5640</t>
  </si>
  <si>
    <t>Hessen</t>
  </si>
  <si>
    <t>Mecklenburg-Vorpommern</t>
  </si>
  <si>
    <t>https://www.laiv-mv.de/Geoinformation/Geobasisdaten/Gelaendemodelle/</t>
  </si>
  <si>
    <t>Niedersachsen</t>
  </si>
  <si>
    <t xml:space="preserve">https://www.lgln.niedersachsen.de/startseite/geodaten_karten/3d_geobasisdaten/3d_messdaten/3d-messdaten-142870.html </t>
  </si>
  <si>
    <t>An open point cloud dataset covering this area is available. Detailed information and access to the dataset can be found in the regional data room and trough: https://geoportal.geodaten.niedersachsen.de/harvest/srv/api/records/3c37eef8-8a3a-4538-b56f-4dcf63261d8a</t>
  </si>
  <si>
    <t>Nordrhein-Westfalen</t>
  </si>
  <si>
    <t>https://www.opengeodata.nrw.de/produkte/geobasis/hm/3dm_l_las/3dm_l_las/</t>
  </si>
  <si>
    <t>Rheinland-Pfalz</t>
  </si>
  <si>
    <t>https://geoshop.rlp.de/laserpunkte/laserpunkte_gelaende_lpg.html</t>
  </si>
  <si>
    <t>Saarland</t>
  </si>
  <si>
    <t>https://www.shop.lvgl.saarland.de/index.php?option=com_virtuemart&amp;view=category&amp;virtuemart_category_id=1067&amp;Itemid=156</t>
  </si>
  <si>
    <t>Sachsen</t>
  </si>
  <si>
    <t>No additional information regarding this dataset is provided on this website. For comprehensive details and supporting documentation, please consult the corresponding [Data Room link]</t>
  </si>
  <si>
    <t>Sachsen-Anhalt</t>
  </si>
  <si>
    <t>Schleswig-Holstein</t>
  </si>
  <si>
    <t>https://gdk.gdi-de.org/geonetwork/srv/eng/catalog.search#/metadata/e5ee1252-858f-4c3e-8613-4bce7d304fb0</t>
  </si>
  <si>
    <t>Thüringen</t>
  </si>
  <si>
    <t>Greece</t>
  </si>
  <si>
    <t xml:space="preserve">Greece does not offer an open-access point cloud dataset, as data acquisition is conducted primarily for military purposes (Kakoulaki, Martinez, &amp; Florio, 2021). However, aside from the restricted national elevation data (Kakoulaki G. 2021), one dataset is available through the OpenTopography database: 2012 Santorini, Greece LiDAR dataset EU-12-12-137.
</t>
  </si>
  <si>
    <t>Santorini</t>
  </si>
  <si>
    <t>UTM zone 35N, WGS84 [EPSG: 32635]</t>
  </si>
  <si>
    <t>WGS84 [EPSG: 4326]</t>
  </si>
  <si>
    <t>https://portal.opentopography.org/dataspace/dataset?opentopoID=OTDS.112018.32635.1</t>
  </si>
  <si>
    <t>This dataset was acquired for the research conducted by  P. Nomikou (2014) on the Greek volcanic islands of Nea Kameni and Palea Kameni, Santorini, Greece. The point cloud was obtained using ALS, with a point density of 2.08 pts/m². Unfortunately, no information is available regarding the altimetric and planimetric data. The dataset includes two classification labels: unclassified and no low point (noise).</t>
  </si>
  <si>
    <t>Hungary</t>
  </si>
  <si>
    <t>Iceland</t>
  </si>
  <si>
    <t>https://kortasja.lmi.is/mapview/?application=kortasja&amp;l=en</t>
  </si>
  <si>
    <t xml:space="preserve">Iceland does not have a national point cloud dataset available. Figure 12 shows this country's elevation datasets acquired by LiDAR, photogrammetric and radar platforms. The elevation model, in this case a DTM, was built from these datasets by the Institute of Nature Research. The DTM covers around 38% of the country in a 10x10m pixel size. </t>
  </si>
  <si>
    <t>Ireland</t>
  </si>
  <si>
    <t>https://data.gov.ie/dataset/open-topographic-lidar-data</t>
  </si>
  <si>
    <t xml:space="preserve">A LiDAR point cloud in Ireland is available only for specific regions. The data was collected between 2005 and 2014 and has an overall accuracy of 0.25m. The data is not freely accessible but can be purchased by a transfer view and will be delivered in TXT format in Irish Grid (IG) or Irish Transverse Mercator (ITM) projections. </t>
  </si>
  <si>
    <t>Italy</t>
  </si>
  <si>
    <t>https://gn.mase.gov.it/portale/en/data-distribution-services-pst?p_l_back_url=%2Fportale%2Fen%2Fricerca%3Fr%3Dlidar</t>
  </si>
  <si>
    <t>Emilia-Romagna</t>
  </si>
  <si>
    <t>https://geoportale.regione.emilia-romagna.it/approfondimenti/rer23_24</t>
  </si>
  <si>
    <t>During 2023, the Digital Innovation, Data, Technology and Archive Centre of the Emilia-Romagna Region started the activities related to the new relevant LiDAR-photogrammetric campaign, called RER 2023/24, which will affect a total area of 9,240 sq km; this area was divided equally by year, or 4,620 sq km in 2023 and as many in 2024.  The acquisitions of the photogrammetric products and LiDAR following the award of the Intercenter tender announced during 2022 were carried out during the entire two-year period 2023/24. This information was taken from the Emilia-Romagna Region geoportal.</t>
  </si>
  <si>
    <t>Trentino-Alto Adige</t>
  </si>
  <si>
    <t>http://www.territorio.provincia.tn.it/portal/server.pt/community/lidar/847/lidar/23954</t>
  </si>
  <si>
    <t>Sardegna</t>
  </si>
  <si>
    <t>Italy has no national LiDAR dataset, as the geo data acquisition is conducted by the regions or for specific cases. The elevation model, TINITALY/01, available in Italy, is constructed from the contour lines and spot heights derived from the Italian Regional topographic, satellite-based global positioning system points, ground-based and radar altimetry data (Tarquini, et al., 2007). The latest version of the digital elevation model was constructed in 2023. The link directs you to the loaction to request pointcloud (LAZ) datasets of Italy.</t>
  </si>
  <si>
    <t>Kosovo</t>
  </si>
  <si>
    <t>Latvia</t>
  </si>
  <si>
    <t>LKS-92 TM (EPSG:3059)</t>
  </si>
  <si>
    <t>LAS-2000.5.</t>
  </si>
  <si>
    <t>https://www.lgia.gov.lv/lv/Digit%C4%81lais%20virsmas%20modelis</t>
  </si>
  <si>
    <t xml:space="preserve">Two open point cloud datasets are available in Latvia: (1) the national point cloud dataset acquired for the digital elevation model (Latvian Geospatial Information Agency (LGIA), 2025) , and (2) the historical city model of Riga (GEO RiGA, 2025). The reference system of the point cloud datasets is linked to the LKS-92 TM and the Latvian standard height system LAS-2000.5. The national point cloud was acquired between 2013 and 2019 and performed in acquisition blocks. Therefore, the different blocks were integrated into one data set to distribute the data to the public domain. </t>
  </si>
  <si>
    <t>Riga</t>
  </si>
  <si>
    <t>https://georiga.eu/en/atvertie-dati/lidar-point-cloud/</t>
  </si>
  <si>
    <t xml:space="preserve"> classified LIDAR point cloud of the historical center of Riga, its protection zone and 13 building protection areas is available in the dataset. LIDAR data acquired in August/September 2022 by aerial laser scanning and ground laser scanning. In an open, uncovered area, the combined density of points is 200-300 p/m². Both manual and automatic classification of aerolaser scanning and laser scanning data was performed. </t>
  </si>
  <si>
    <t>Liechtenstein</t>
  </si>
  <si>
    <t xml:space="preserve">The Liechtenstein dataset is available through Switzerland's national point cloud dataset. </t>
  </si>
  <si>
    <t>Lithuania</t>
  </si>
  <si>
    <t>Lithuania's LKS-94 (EPSG:3346)</t>
  </si>
  <si>
    <t xml:space="preserve">Lithuania's national point cloud dataset is available through a specific geoportal. The acquisition of the point cloud was conducted in 4 cycles by the ALS platform. The data is available in LAS format. The acquisition was conducted between 2019 and 2022. The resulting data were combined to distribute the national point cloud dataset to the public domain as one dataset. The point cloud dataset is available in Lithuania's LKS-94 local coordinate system. </t>
  </si>
  <si>
    <t>Luxembourg</t>
  </si>
  <si>
    <t>LUREF / Luxembourg TM (EPSG:2169)</t>
  </si>
  <si>
    <t>https://map.geoportail.lu/communes/Luxembourg/lidar_tiles_2019/?lang=en</t>
  </si>
  <si>
    <t xml:space="preserve">In Luxembourg, the national point cloud dataset is acquired by the Le Géoportail National du Grand-Duché de Luxembourg. An ALS acquisition platform acquired the Luxembourg national point cloud dataset from 2019 to 2024. </t>
  </si>
  <si>
    <t>Malta</t>
  </si>
  <si>
    <t>ED50 / UTM zone 31N (EPSG:23031)</t>
  </si>
  <si>
    <t>https://www.um.edu.mt/projects/cloudisle/</t>
  </si>
  <si>
    <t xml:space="preserve">The airborne laser scanning platform acquired the point cloud for Malta, CloudISLE, in 2018. </t>
  </si>
  <si>
    <t>Moldova</t>
  </si>
  <si>
    <t>Monaco</t>
  </si>
  <si>
    <t>Montenegro</t>
  </si>
  <si>
    <t>Netherlands</t>
  </si>
  <si>
    <t>RDNAP (EPSG:7415)</t>
  </si>
  <si>
    <t>https://www.ahn.nl/dataroom</t>
  </si>
  <si>
    <t xml:space="preserve">In the Netherlands, four large-scale point cloud datasets are available as open datasets, beshides the national dataset: het Actueel Hoogte Bestand. There are 5 versions availble of the national dataset. Note that many municipalities in the Netherlands also acquire elevation information published on different platforms. Totaal3D and the urban data platform of Rotterdam are examples of available point cloud-derived elevation models. Consequently, multiple point clouds in the Netherlands have different quality parameters and classification definitions. The primary point cloud dataset in the Netherlands is the AHN, which has been acquired in six iterations for the whole country. </t>
  </si>
  <si>
    <t>https://spoorinbeeld.nl/</t>
  </si>
  <si>
    <t>ProRail, responsible for the railway network in the Netherlands, is making available an open nationwide point cloud focusing only on main railways. The point clouds are available from 2018 to 2022. In doing so, ProRail's aim is to also capture and openly exclude all stations, rail goods trains and overhauls on the main rail network</t>
  </si>
  <si>
    <t>North Macedonia</t>
  </si>
  <si>
    <t>https://www.kartverket.no/en/about-kartverket/international-services/story2</t>
  </si>
  <si>
    <t xml:space="preserve">The Kartverket of Norway acquired the LiDAR acquisition for the digital elevation models in North Macedonia. The acquisition project started in June 2018 and lasted until December 2022 (GIM International, 2021), (Agency for Real Estate Cadastre, 2018), (Norwegian Mapping Authority (Kartverket), 2021). The data is not publicly available. Instead, the data is only available to the partners of the project and the United Nations Development Program's country office. </t>
  </si>
  <si>
    <t>Norway</t>
  </si>
  <si>
    <t>EUREF89 UTM32 + NN2000 (EPSG:5972), EUREF89  UTM33  +  NN2000 (EPSG:5973), UREF89  UTM35  +  NN2000 (EPSG:5975)</t>
  </si>
  <si>
    <t>ALS,TLS,DM</t>
  </si>
  <si>
    <t>https://hoydedata.no</t>
  </si>
  <si>
    <t>The Landmåler is responsible for acquiring the Norwegian point cloud datasets in Norway. The quality descriptions are based on a matrix representing the standard requirements for each sensor type used (Kartverket, The Norwegian Mapping Authority, 2023). The descriptions are defined for the ALS, bathymetric LiDAR, terrestrial LiDAR, MBES, and photogrammetry point clouds. The matrix is divided into four quality categories:
•	High: for detailed mapping projects
•	Medium: for specific projects
•	Minimum: for the Nasjonal Detaljert Høydemodell (NDH)/ the national height dataset
•	Custom: point clouds that will not be published on Norway's elevation data platform.   
The point density for Norway is calculated based on the high category, where 80% of the 2 m × 2 m cells within a 10 m × 10 m area must meet the point spacing requirements as shown in the table below. The density for this category must be computed using only the ground class of the point cloud. In contrast, the densities for the medium and low categories are calculated within 10m × 10m grid cells, requiring 95% of the cells to meet the specified criteria.</t>
  </si>
  <si>
    <t>Poland</t>
  </si>
  <si>
    <t>PL-EVRF2007-NH (EPSG: 9719)</t>
  </si>
  <si>
    <t>www.geoportal.gov.pl</t>
  </si>
  <si>
    <t xml:space="preserve">In Poland, the point cloud dataset is acquired by the Head Office of Geodesy and Cartography (Head Office of Geodesy and Cartography (GUGiK), 2023). The data are acquired in the PL-EVRF2007-NH altimetric reference system (EPSG:9719) for cities in a 2-year cycle, for other areas in a 4–5-year cycle. Besides the signal reflection, the point cloud dataset contains the red, green, and blue image values for a coloured representation. </t>
  </si>
  <si>
    <t>Portugal</t>
  </si>
  <si>
    <t>PT-TM06/ETRS89 (EPSG:3763)</t>
  </si>
  <si>
    <t>Cascais height (EPSG:5780)</t>
  </si>
  <si>
    <t xml:space="preserve">In Portugal, there are two open point cloud datasets: (1) the Airborne LiDAR for the coastal areas of Portugal mainland - obtained in 2011, and (2) the Airborne LiDAR for the whole territory of Portugal mainland - currently being produced, to be finished in 2025 (Direção-Geral do Território (DGT), 2024)]. These two datasets have different quality parameters based on the density, absolute and relative accuracy. The mainland dataset will be available in the LAS format. The data are collected in PT-TM06/ETRS89 and Datum Altimétrico de Cascais. </t>
  </si>
  <si>
    <t>Romania</t>
  </si>
  <si>
    <t>Krasovski 1940 ellipsoid (EPSG:3844)</t>
  </si>
  <si>
    <t>https://www.ancpi.ro/laki3/en/</t>
  </si>
  <si>
    <t>Caraș-Severin</t>
  </si>
  <si>
    <t xml:space="preserve">1976 Black Sea normal height system </t>
  </si>
  <si>
    <t>Part of the Romanian national point cloud Laki3 dataset. The information links are all consistent with those of the national dataset.</t>
  </si>
  <si>
    <t>Mehedinți</t>
  </si>
  <si>
    <t xml:space="preserve">1977 Black Sea normal height system </t>
  </si>
  <si>
    <t>Dolj</t>
  </si>
  <si>
    <t xml:space="preserve">1978 Black Sea normal height system </t>
  </si>
  <si>
    <t>Gorj</t>
  </si>
  <si>
    <t xml:space="preserve">1979 Black Sea normal height system </t>
  </si>
  <si>
    <t>Suceava</t>
  </si>
  <si>
    <t xml:space="preserve">1980 Black Sea normal height system </t>
  </si>
  <si>
    <t>Neamț</t>
  </si>
  <si>
    <t xml:space="preserve">1981 Black Sea normal height system </t>
  </si>
  <si>
    <t>Bacău</t>
  </si>
  <si>
    <t xml:space="preserve">1982 Black Sea normal height system </t>
  </si>
  <si>
    <t>Vrancea</t>
  </si>
  <si>
    <t xml:space="preserve">1983 Black Sea normal height system </t>
  </si>
  <si>
    <t>Bihor</t>
  </si>
  <si>
    <t xml:space="preserve">1984 Black Sea normal height system </t>
  </si>
  <si>
    <t>https://geoportal.ancpi.ro/portal/apps/webappviewer/index.html?id=3f34ee5af71c400396dda574f0d53274</t>
  </si>
  <si>
    <t>Part of the Romanian national point cloud Laki2 dataset. The information links are all consistent with those of the national dataset.</t>
  </si>
  <si>
    <t>Hunedoara</t>
  </si>
  <si>
    <t xml:space="preserve">1985 Black Sea normal height system </t>
  </si>
  <si>
    <t xml:space="preserve">1986 Black Sea normal height system </t>
  </si>
  <si>
    <t>Alba</t>
  </si>
  <si>
    <t>San Marino</t>
  </si>
  <si>
    <t>Serbia</t>
  </si>
  <si>
    <t>SRB_ETRS89/UTM</t>
  </si>
  <si>
    <t>SRB_VRS12 height (EPSG:8691)</t>
  </si>
  <si>
    <t>https://www.rgz.gov.rs/digital-terrain-model</t>
  </si>
  <si>
    <t>The high-accuracy DTM is produced using the LiDAR acquisition data and is primarily used for the definition of flood hazard areas and planning of the activities in the field of hazard zones protection by the competent institutions at national and local levels:
    - Based on the LiDAR acquisition data for flooding area of Tisa river (area of approximately 2020 km2) performed in 2012 under the Project for establishing the National Spatial Data Infrastructure and Remote Sensing Center of the Republic of Serbia - IGIS Project, the RGA had produced high accuracy Digital Terrain Model with 1 m grid, mean accuracy of 0.07 m. Parameters of georeferenced high accuracy DTM for flooding area of Tisa river have been determined by the parameters of reference system in the plane of projection for the Republic of Serbia (SRB_ETRS89/UTM), and altitudes are expressed against the official quasi-geoid of the Republic of Serbia as the vertical reference surface.
   - On the basis of LiDAR acquisition data for the purposes of creating a DTM of significantly flooded areas in the Republic of Serbia, which is underway, a high accuracy DTM is being created that will be used for the purposes of hydraulic modeling in the process of creating hazard maps and flood risk maps and improving the flood protection system. The implementation of the works is carried out as part of the Project "Flood risk maps developed for sub-basins and flood protection improved" and is financed from EU pre-accession funds (IPA II 2014 - Sector: environment) and donations. The project area represents 74 significant flood areas with a total area of about 9427 km2.
 You can acquire national data through the Republic Geodetic Authority (RGZ) or by ordering from providers like NextGIS Data.</t>
  </si>
  <si>
    <t>Slovakia</t>
  </si>
  <si>
    <t>ETRS89-TM34 (EPSG:3046)</t>
  </si>
  <si>
    <t>ETRS89-h (EPSG:4345)</t>
  </si>
  <si>
    <t xml:space="preserve">https://mapy.tuzvo.sk/HOFM/Default.aspx </t>
  </si>
  <si>
    <t xml:space="preserve">In 2017, the Slovak Republic started to map the entire country with ALS in two cycles.  The point cloud dataset is acquired in the ETRS89-TM34 reference system and the ETRS89-h height reference. </t>
  </si>
  <si>
    <t>Slovenia</t>
  </si>
  <si>
    <t>http://gis.arso.gov.si/evode/profile.aspx?id=atlas_voda_Lidar@Arso&amp;culture=en-US</t>
  </si>
  <si>
    <t>The CLSS - Cyclic Laser Scanning Survey of Slovenia acquired the national point cloud dataset in 2015 to support flood management. The dataset was acquired in 36 blocks based on the ALS acquisition platform. The nationwide point cloud is distributed in LAZ and zLAZ.</t>
  </si>
  <si>
    <t>Spain</t>
  </si>
  <si>
    <t>ETRS89</t>
  </si>
  <si>
    <t>https://centrodedescargas.cnig.es/CentroDescargas/lidar-tercera-cobertura</t>
  </si>
  <si>
    <t>In Spain, the national data program is led by the National Geographic Institute, where an ALS acquisition platform acquires the nationwide points cloud dataset. Besides the point cloud dataset, a range of other geospatial height-related datasets are acquired and available, including the derived Digital Surface Models (DSM), Digital Terrain Models (DTM), and both national and local point clouds de fomento (2020). The data is acquired in the ETRS89 reference system except for the Canary Islands, which is REGCAN95.</t>
  </si>
  <si>
    <t>País Vasco</t>
  </si>
  <si>
    <t>https://b5m.gipuzkoa.eus/geonetwork/srv/api/records/GFA.LIDED1S08.KS69</t>
  </si>
  <si>
    <t>LiDAR-based elevation model, which was generated by the Basque Government in 2009.</t>
  </si>
  <si>
    <t>Madrid</t>
  </si>
  <si>
    <t>https://geoportal.madrid.es/IDEAM_WBGEOPORTAL/dataset.iam?id=f97e3243-cd18-4cec-8443-9a46f0f29d50</t>
  </si>
  <si>
    <t>Cataluña</t>
  </si>
  <si>
    <t>https://www.icgc.cat/es/Geoinformacion-y-mapas/Datos-y-productos/Bessons-digitals-Elevacions/LiDAR-Territorial</t>
  </si>
  <si>
    <t>Sweden</t>
  </si>
  <si>
    <t>SWEREF 99TM (EPSG:3006)</t>
  </si>
  <si>
    <t xml:space="preserve">The Lantmäteriet acquires the National Laser Scanning Programme (SLS) point cloud dataset. The ALS acquisition platform acquires the data in the reference system SWEREF 99TM. The individual point clouds are harmonised into a single national point cloud dataset acquired in different cycles. There are two main versions available in Sweden: the “skog” (i.e. forest) point clouds covering agricultural and forest areas of Sweden, while the NH covers all other areas. </t>
  </si>
  <si>
    <t>Switzerland</t>
  </si>
  <si>
    <t>LV95 (EPSG:2056)</t>
  </si>
  <si>
    <t>LN02 (EPSG:5728)</t>
  </si>
  <si>
    <t>https://www.swisstopo.admin.ch/en/height-model-swisssurface3d</t>
  </si>
  <si>
    <t xml:space="preserve">In Switzerland, the Swisstopo is responsible for the acquisition of the national point cloud dataset, which is called the swissSURFACE3D. Between 2000 and 2024, the elevation models were acquired by ALS. From 2024 onwards, the point cloud acquisition will be done for Switzerland and Liechtenstein, which will be distributed freely to the public. The LV95 spatial reference system and the LN02 height system acquire the point cloud datasets. </t>
  </si>
  <si>
    <t>Ukraine</t>
  </si>
  <si>
    <t>United Kingdom</t>
  </si>
  <si>
    <t>The United Kingdom's point clouds are acquired separately by each nation in the union: Wales, Scotland, Northern Ireland, and England.</t>
  </si>
  <si>
    <t>England</t>
  </si>
  <si>
    <t>OSGB36 / British National Grid (EPSG:27700)</t>
  </si>
  <si>
    <t>Ordnance Datum Newlyn (EPSG:5101)</t>
  </si>
  <si>
    <t>https://environment.data.gov.uk/survey</t>
  </si>
  <si>
    <t xml:space="preserve">The environmental agency has conducted several LiDAR acquisition surveys in England since 1998. According to the Environment Agency (2016), 75% of England's population was surveyed by the agency (Environment Agency, 2015). From 2017 to 2023, phase 1 of the country was captured again. The data is available in LAS/LAZ. The different LiDAR tiles, referenced to the OSGB'36 British National Grid with elevations recorded in Ordnance Datum Newlyn (AODN), and overage is shown in Figure 17. Each year is highlighted in a different colour, and the r(b) shows the resolution of the acquired LiDAR data used for the derived digital elevation models that are openly accessible. </t>
  </si>
  <si>
    <t>Scotland</t>
  </si>
  <si>
    <t>https://remotesensingdata.gov.scot/data#/map</t>
  </si>
  <si>
    <t>In Scotland, the LiDAR dataset was acquired in 6 phases, representing parts of Scotland but not covering the whole country. The LiDAR acquisition occurred from 2011 to 2023, on behalf of Scottish Power Energy Network (SPEN) (Scottish Government, 2022). The data is distributed to the public in LAZ</t>
  </si>
  <si>
    <t>Northern Ireland</t>
  </si>
  <si>
    <t>DM</t>
  </si>
  <si>
    <t>https://www.nidirect.gov.uk/articles/3d-point-cloud-data</t>
  </si>
  <si>
    <t xml:space="preserve">In Northern Ireland, the Ordnance Survey acquired a point cloud dataset for the digital elevation models based on dense matching. The points are generated at a 1 in 4-pixel ratio, with a point spacing of around 0.4m (Historic Environment Division, Northern Ireland, 2020). The mapping agency highlighted that there is no full coverage due to several causes, such as bad images and issues due to cloud/ distortions in pixel matching.  For some smaller lakes and loughs, surfaces are estimated, but this is not always possible, and gaps are again left where an estimate would be misleading. The data has a total size of 4.7 GB (zipped). The data is not free but can be received against additional costs. </t>
  </si>
  <si>
    <t>Wales</t>
  </si>
  <si>
    <t>LiDAR data is used in Wales to generate the DTM and DSM the Welsh Government provides. The LiDAR data was acquired between 2020 and 2023 and will become open. For Wales, the point cloud had Vegetated vertical accuracy (VVA) quality parameter, which was set at less than 0.29m (Ffotograffiaeth Awyrol a Chartograffeg /Aerial Photography &amp; Cartography)</t>
  </si>
  <si>
    <t>Undefined</t>
  </si>
  <si>
    <t>Water</t>
  </si>
  <si>
    <t>Soil</t>
  </si>
  <si>
    <t>Tall vegetation</t>
  </si>
  <si>
    <t>h</t>
  </si>
  <si>
    <t>Noise</t>
  </si>
  <si>
    <t>Ground</t>
  </si>
  <si>
    <t>Building</t>
  </si>
  <si>
    <t>Bridges</t>
  </si>
  <si>
    <t>Unclassified</t>
  </si>
  <si>
    <t>Buildings</t>
  </si>
  <si>
    <t>Low vegetation</t>
  </si>
  <si>
    <t>Medium vegetation</t>
  </si>
  <si>
    <t>High vegetation</t>
  </si>
  <si>
    <t>Air points</t>
  </si>
  <si>
    <t>water</t>
  </si>
  <si>
    <t>Brigde</t>
  </si>
  <si>
    <t>Last Return not floor3</t>
  </si>
  <si>
    <t>Bridges, Footbridges, Viaducts</t>
  </si>
  <si>
    <t>l</t>
  </si>
  <si>
    <t>Powerlines</t>
  </si>
  <si>
    <t>Other</t>
  </si>
  <si>
    <t>Tower</t>
  </si>
  <si>
    <t>Dublin</t>
  </si>
  <si>
    <t xml:space="preserve">https://cdd.dgterritorio.gov.pt/dgt-fe/catalogos/colecoes?filter=LiDAR+-+Modelos+Digitais+do+Relevo&amp;language=en </t>
  </si>
  <si>
    <t>prorail</t>
  </si>
  <si>
    <t xml:space="preserve">Classification </t>
  </si>
  <si>
    <t>ground</t>
  </si>
  <si>
    <t>common vegetation</t>
  </si>
  <si>
    <t>building</t>
  </si>
  <si>
    <t>low point</t>
  </si>
  <si>
    <t>rail</t>
  </si>
  <si>
    <t>road surface</t>
  </si>
  <si>
    <t>WG</t>
  </si>
  <si>
    <t>WC</t>
  </si>
  <si>
    <t>transmission tower</t>
  </si>
  <si>
    <t>wire structure connector</t>
  </si>
  <si>
    <t>bridge</t>
  </si>
  <si>
    <t xml:space="preserve">overhead </t>
  </si>
  <si>
    <t>snow</t>
  </si>
  <si>
    <t>user</t>
  </si>
  <si>
    <t>MLS</t>
  </si>
  <si>
    <t>https://www.wien.gv.at/stadtplanung/produktinformation-mobile-mapping-befahrung-2023</t>
  </si>
  <si>
    <t>https://www.wien.gv.at/stadtplan3d/</t>
  </si>
  <si>
    <t>EPSG 31256</t>
  </si>
  <si>
    <t>EPSG 8881</t>
  </si>
  <si>
    <t>CC BY 4.0</t>
  </si>
  <si>
    <t>Fee</t>
  </si>
  <si>
    <t>yes</t>
  </si>
  <si>
    <t>no</t>
  </si>
  <si>
    <t>NaN</t>
  </si>
  <si>
    <t>dl-by-de/2.0</t>
  </si>
  <si>
    <t>Yes</t>
  </si>
  <si>
    <t xml:space="preserve">Licence </t>
  </si>
  <si>
    <t>Gratis open data licenties Vlaanderen</t>
  </si>
  <si>
    <t>Licence CC-BY 4.0</t>
  </si>
  <si>
    <t>https://geoportail.wallonie.be/catalogue/ab14b035-c9b0-4c79-a2b6-36811fca96a1.html#Informations</t>
  </si>
  <si>
    <t>https://geoportail.wallonie.be/catalogue/ab14b035-c9b0-4c79-a2b6-36811fca96a1.html#Telechargement</t>
  </si>
  <si>
    <t>Above ground (buildings, roofs, and other structures)</t>
  </si>
  <si>
    <t>Sol (y compris talus et digues</t>
  </si>
  <si>
    <t>Végétation haute (y compris la végétation linéaire)</t>
  </si>
  <si>
    <t>Eau</t>
  </si>
  <si>
    <t>Pont</t>
  </si>
  <si>
    <t>Ligne hautes-tension</t>
  </si>
  <si>
    <t>Dataset_name</t>
  </si>
  <si>
    <t>SpoorInBeeld</t>
  </si>
  <si>
    <t>Stadtplan3D</t>
  </si>
  <si>
    <t> Airborne Laserscannung Höhendaten</t>
  </si>
  <si>
    <t>https://www.landesentwicklung.steiermark.at/cms/beitrag/12803182/142970647/</t>
  </si>
  <si>
    <t>Pointcloud, DEM</t>
  </si>
  <si>
    <t>yes, no</t>
  </si>
  <si>
    <t>https://tiris.maps.arcgis.com/apps/webappviewer/index.html?id=5e3071044cb44e76843d110baef8b138</t>
  </si>
  <si>
    <t>MGI GK West (EPSG:31254)</t>
  </si>
  <si>
    <t>(GHA / EPSG:5778)</t>
  </si>
  <si>
    <t>DSM</t>
  </si>
  <si>
    <t>DTM</t>
  </si>
  <si>
    <t>DSM_scale</t>
  </si>
  <si>
    <t>DTM_scale</t>
  </si>
  <si>
    <t>0,5; 5</t>
  </si>
  <si>
    <t>0,5;5</t>
  </si>
  <si>
    <t>https://www.tirol.gv.at/sicherheit/geoinformation/geodaten-tiris/laserscandaten/</t>
  </si>
  <si>
    <t>Pointcloud,DEM</t>
  </si>
  <si>
    <t>Year_start</t>
  </si>
  <si>
    <t>Year_end</t>
  </si>
  <si>
    <t>https://www.tirol.gv.at/fileadmin/themen/sicherheit/geoinformation/Laserscandaten/ALS_Tirol_Onlinebericht.pdf</t>
  </si>
  <si>
    <t>EPSG: 31255</t>
  </si>
  <si>
    <t>EPSG: 31258</t>
  </si>
  <si>
    <t>https://www.data.gv.at/datasets/c4352e0c-f811-4c59-bdac-4ba199684fc2?locale=de</t>
  </si>
  <si>
    <t>https://www.data.gv.at/datasets/093d4dec-8397-4faf-b690-b8cbe9a9dc31?locale=de</t>
  </si>
  <si>
    <t>https://www.salzburg.gv.at/api5/datalinq/report/vektorpublik@alsdownload@alsdownload?</t>
  </si>
  <si>
    <t>Land Salzburg, Referat Geodateninfrastruktur</t>
  </si>
  <si>
    <t>Responsible</t>
  </si>
  <si>
    <t>Het waterschapshuis</t>
  </si>
  <si>
    <t>Paradigm</t>
  </si>
  <si>
    <t>Link_info</t>
  </si>
  <si>
    <t>link_point cloud</t>
  </si>
  <si>
    <t>https://www.vlaanderen.be/datavindplaats/catalogus/lidar-digitaal-hoogtemodel-vlaanderen-i-ruwe-remote-sensing-data</t>
  </si>
  <si>
    <t>niet maaiveld</t>
  </si>
  <si>
    <t>https://remotesensing.vlaanderen.be/apps/openlidar/</t>
  </si>
  <si>
    <t>https://remotesensing.vlaanderen.be/apps/openlidar/EODaS_openlidar_Handleiding.pdf</t>
  </si>
  <si>
    <t>Actueel Hoogtebestand Nederland 2</t>
  </si>
  <si>
    <t>Actueel Hoogtebestand Nederland 3</t>
  </si>
  <si>
    <t>Actueel Hoogtebestand Nederland 4</t>
  </si>
  <si>
    <t>Actueel Hoogtebestand Nederland 5</t>
  </si>
  <si>
    <t>Actueel Hoogtebestand Nederland 6</t>
  </si>
  <si>
    <t>het Kadaster</t>
  </si>
  <si>
    <t>3D Basisvoorziening</t>
  </si>
  <si>
    <t>3DCD</t>
  </si>
  <si>
    <t>Valladolid</t>
  </si>
  <si>
    <t>Unclear</t>
  </si>
  <si>
    <t>EPSG:3042</t>
  </si>
  <si>
    <t>40K</t>
  </si>
  <si>
    <t>Years</t>
  </si>
  <si>
    <t>AbenbergALS</t>
  </si>
  <si>
    <t>Abenberg</t>
  </si>
  <si>
    <t>5M</t>
  </si>
  <si>
    <t>7M</t>
  </si>
  <si>
    <t>Hours</t>
  </si>
  <si>
    <t>Change3D (SLPCCD)</t>
  </si>
  <si>
    <t>Schiedam</t>
  </si>
  <si>
    <t>EPSG:28992</t>
  </si>
  <si>
    <t>566K</t>
  </si>
  <si>
    <t>1M</t>
  </si>
  <si>
    <t>https://github.com/giscanme/SLPCCD</t>
  </si>
  <si>
    <t>Hessigheim3D</t>
  </si>
  <si>
    <t>Hessigheim</t>
  </si>
  <si>
    <t>EPSG:25832</t>
  </si>
  <si>
    <t>608K</t>
  </si>
  <si>
    <t>129M</t>
  </si>
  <si>
    <t>https://ifpwww.ifp.uni-stuttgart.de/benchmark/hessigheim/default.aspx</t>
  </si>
  <si>
    <t>QALIDAR</t>
  </si>
  <si>
    <t>Le Locle</t>
  </si>
  <si>
    <t>Open government data</t>
  </si>
  <si>
    <t>EPSG:2056</t>
  </si>
  <si>
    <t>2M</t>
  </si>
  <si>
    <t>27M</t>
  </si>
  <si>
    <t>Weeks</t>
  </si>
  <si>
    <t>https://opendata.swiss/en/dataset/qalidar</t>
  </si>
  <si>
    <t>SMARS</t>
  </si>
  <si>
    <t>Venice</t>
  </si>
  <si>
    <t>31M</t>
  </si>
  <si>
    <t>https://github.com/SMARS-dataset/SMARS</t>
  </si>
  <si>
    <t>SZTAKI-Change3D</t>
  </si>
  <si>
    <t>Budapest</t>
  </si>
  <si>
    <t>58K</t>
  </si>
  <si>
    <t>99K</t>
  </si>
  <si>
    <t>Months</t>
  </si>
  <si>
    <t>https://sztaki.hun-ren.hu/en/innovation/data-repository</t>
  </si>
  <si>
    <t>SZTAKI-CityCDLoc</t>
  </si>
  <si>
    <t>EPSG:23700</t>
  </si>
  <si>
    <t>181K</t>
  </si>
  <si>
    <t>Urb3DCD-v1</t>
  </si>
  <si>
    <t>Lyon</t>
  </si>
  <si>
    <t>EPSG:9826</t>
  </si>
  <si>
    <t>143K</t>
  </si>
  <si>
    <t>Min to Days?</t>
  </si>
  <si>
    <t>https://github.com/IdeGelis/torch-points3d-SiamKPConv</t>
  </si>
  <si>
    <t>Urb3DCD-v2</t>
  </si>
  <si>
    <t>EPSG:9827</t>
  </si>
  <si>
    <t>149K</t>
  </si>
  <si>
    <t>6M</t>
  </si>
  <si>
    <t>Urb3DCD-cls</t>
  </si>
  <si>
    <t>EPSG:9828</t>
  </si>
  <si>
    <t>11</t>
  </si>
  <si>
    <t>8K</t>
  </si>
  <si>
    <t>Zhang et al.</t>
  </si>
  <si>
    <t>Rotterdam</t>
  </si>
  <si>
    <t>ALS,DM</t>
  </si>
  <si>
    <t>40M</t>
  </si>
  <si>
    <t>51M</t>
  </si>
  <si>
    <t>Months to Years</t>
  </si>
  <si>
    <t>AHK 1</t>
  </si>
  <si>
    <t>Äußeres Hochebenkar</t>
  </si>
  <si>
    <t>CC BY-SA 4.0</t>
  </si>
  <si>
    <t>9M</t>
  </si>
  <si>
    <t>17M</t>
  </si>
  <si>
    <t>https://zenodo.org/records/3370462</t>
  </si>
  <si>
    <t>AHK 2</t>
  </si>
  <si>
    <t>18K</t>
  </si>
  <si>
    <t>72M</t>
  </si>
  <si>
    <t>https://zenodo.org/records/7066295</t>
  </si>
  <si>
    <t>Bad Frankenhausen</t>
  </si>
  <si>
    <t>Minutes</t>
  </si>
  <si>
    <t>https://zenodo.org/records/6965076</t>
  </si>
  <si>
    <t>Belvedere Glacier</t>
  </si>
  <si>
    <t>EPSG:7791</t>
  </si>
  <si>
    <t>39M</t>
  </si>
  <si>
    <t>263M</t>
  </si>
  <si>
    <t>Days to Weeks</t>
  </si>
  <si>
    <t>https://zenodo.org/records/10777823</t>
  </si>
  <si>
    <t>CoastScan Combined</t>
  </si>
  <si>
    <t>Noordwijk</t>
  </si>
  <si>
    <t>EPSG:7415</t>
  </si>
  <si>
    <t>49K</t>
  </si>
  <si>
    <t>172K</t>
  </si>
  <si>
    <t>Hours to Months</t>
  </si>
  <si>
    <t>https://zenodo.org/records/10518718</t>
  </si>
  <si>
    <t>Findelengletscher</t>
  </si>
  <si>
    <t>CC BY-NC-SA 3.0</t>
  </si>
  <si>
    <t>EPSG:21781</t>
  </si>
  <si>
    <t>26M</t>
  </si>
  <si>
    <t>Weeks to Years</t>
  </si>
  <si>
    <t>https://doi.org/10.5281/zenodo.1158331</t>
  </si>
  <si>
    <t>Holuhraun</t>
  </si>
  <si>
    <t>CC BY-NC-SA 4.0</t>
  </si>
  <si>
    <t>EPSG:32628</t>
  </si>
  <si>
    <t>92M</t>
  </si>
  <si>
    <t>117M</t>
  </si>
  <si>
    <t>https://zenodo.org/records/10783838</t>
  </si>
  <si>
    <t>Kijkduin</t>
  </si>
  <si>
    <t>665K</t>
  </si>
  <si>
    <t>16M</t>
  </si>
  <si>
    <t>M3C2-EP</t>
  </si>
  <si>
    <t>476</t>
  </si>
  <si>
    <t>10M</t>
  </si>
  <si>
    <t>https://zenodo.org/records/5167273</t>
  </si>
  <si>
    <t>Mariakerke Bad</t>
  </si>
  <si>
    <t>EPSG:3812</t>
  </si>
  <si>
    <t>305K</t>
  </si>
  <si>
    <t>Hours to Months?</t>
  </si>
  <si>
    <t>Nesslrinna</t>
  </si>
  <si>
    <t>EPSG:32632</t>
  </si>
  <si>
    <t>11M</t>
  </si>
  <si>
    <t>https://zenodo.org/records/3386937</t>
  </si>
  <si>
    <t>CC BY-NC 4.0</t>
  </si>
  <si>
    <t>10</t>
  </si>
  <si>
    <t>36M</t>
  </si>
  <si>
    <t>Rotmoos</t>
  </si>
  <si>
    <t>8M</t>
  </si>
  <si>
    <t>90M</t>
  </si>
  <si>
    <t>Schneeferner</t>
  </si>
  <si>
    <t>4M</t>
  </si>
  <si>
    <t>54M</t>
  </si>
  <si>
    <t>Weeks to Months</t>
  </si>
  <si>
    <t>Evo TLS</t>
  </si>
  <si>
    <t>Evo</t>
  </si>
  <si>
    <t>EPSG:3067</t>
  </si>
  <si>
    <t>34M</t>
  </si>
  <si>
    <t>83M</t>
  </si>
  <si>
    <t>Kalkkinen</t>
  </si>
  <si>
    <t>11K</t>
  </si>
  <si>
    <t>571K</t>
  </si>
  <si>
    <t>Low Vegetation (up to 0.3m)</t>
  </si>
  <si>
    <t>Medium Vegetation (0.3m to 2m)</t>
  </si>
  <si>
    <t>High vegetation (&gt;2m)</t>
  </si>
  <si>
    <t>ASPRS18:Noise</t>
  </si>
  <si>
    <t>Terrain</t>
  </si>
  <si>
    <t>First and middle reflections</t>
  </si>
  <si>
    <t>Noise (below terrain)</t>
  </si>
  <si>
    <t>Terrain under bridges (overlap bit)</t>
  </si>
  <si>
    <t>ASPRS18:Noise (above terrain)</t>
  </si>
  <si>
    <t>Medium vegetation (2020+)</t>
  </si>
  <si>
    <t>High vegetation (2020+)</t>
  </si>
  <si>
    <t>Low error points (2008-2019)</t>
  </si>
  <si>
    <t>Standing water (2008-2019)</t>
  </si>
  <si>
    <t>Bridge points (2008-2019)</t>
  </si>
  <si>
    <t>Overlap area (2008-2019)</t>
  </si>
  <si>
    <t>Streaming water (2008-2019)</t>
  </si>
  <si>
    <t>Air points (2020+)</t>
  </si>
  <si>
    <t>Isolated (2020+)</t>
  </si>
  <si>
    <t>Fault points (2020+)</t>
  </si>
  <si>
    <t>ASPRS12:Overlap area (2020+)</t>
  </si>
  <si>
    <t>Bridge deck</t>
  </si>
  <si>
    <t>ASPRS64:Perennial overlay; ASPRS66:Virtual points; ASPRS67:Miscellaneous - built-up areas</t>
  </si>
  <si>
    <t>Low Point</t>
  </si>
  <si>
    <t>ASPRS18:High Noise; ASPRS64:High voltage power lines; ASPRS65:Wind power plants; ASPRS66:Solar parks; ASPRS67:Pipelines; ASPRS69:Towers / Masts; ASPRS70:Cranes</t>
  </si>
  <si>
    <t>ASPRS64:High-voltage power lines (since 2025); ASPRS69:Towers / Masts / electric pylons (since 2025)</t>
  </si>
  <si>
    <t>outliers</t>
  </si>
  <si>
    <t>Low Vegetation</t>
  </si>
  <si>
    <t>Medium Vegetation</t>
  </si>
  <si>
    <t>High Vegetation</t>
  </si>
  <si>
    <t>Low Point (Noise)</t>
  </si>
  <si>
    <t>Unclassified points</t>
  </si>
  <si>
    <t>Terrain points, ground points</t>
  </si>
  <si>
    <t>replenished building points</t>
  </si>
  <si>
    <t>ASPRS18:High points; ASPRS26:filled soil</t>
  </si>
  <si>
    <t>Wire - conductor</t>
  </si>
  <si>
    <t>ASPRS20:Ignored ground</t>
  </si>
  <si>
    <t>Unclassified and temporary objects</t>
  </si>
  <si>
    <t>ASPRS12:Overlap</t>
  </si>
  <si>
    <t>Maaiveld (Ground &amp; vegetation)</t>
  </si>
  <si>
    <t>Power cable</t>
  </si>
  <si>
    <t>ASPRS26:Bridge</t>
  </si>
  <si>
    <t>Low point (noise)</t>
  </si>
  <si>
    <t>ASPRS8:Water; ASPRS12:Overlap</t>
  </si>
  <si>
    <t>ASPRS26:Bridges</t>
  </si>
  <si>
    <t>Power lines</t>
  </si>
  <si>
    <t>ASPRS18:High Noise</t>
  </si>
  <si>
    <t>Created, Never Classified</t>
  </si>
  <si>
    <t>Road surface (noise)</t>
  </si>
  <si>
    <t>ASPRS24:Overlap points (noise)</t>
  </si>
  <si>
    <t>Ground (point on the ground)</t>
  </si>
  <si>
    <t>ASPRS18:High noise</t>
  </si>
  <si>
    <t>Default (unclassified)</t>
  </si>
  <si>
    <t>Low surface object (0.05m =&gt; Ground =&lt;0.15m)</t>
  </si>
  <si>
    <t>Medium surface object (0.15m =&gt; Ground =&lt;5m)</t>
  </si>
  <si>
    <t>High surface object (5 =&gt; Ground =&lt;100)</t>
  </si>
  <si>
    <t>ASPRS8:Model keypoints</t>
  </si>
  <si>
    <t>Bare earth</t>
  </si>
  <si>
    <t xml:space="preserve">Medium vegetation </t>
  </si>
  <si>
    <t>Low point / noise</t>
  </si>
  <si>
    <t>Laki2</t>
  </si>
  <si>
    <t>Laki3</t>
  </si>
  <si>
    <t>National Agency of Cadastre and Land Registration Romania</t>
  </si>
  <si>
    <t xml:space="preserve"> ASPRS20:Bridges</t>
  </si>
  <si>
    <t>ASPRS18:High Noise; ASPRS20:Bridges</t>
  </si>
  <si>
    <t>Pro Rail - Minisitry of Infrastructure</t>
  </si>
  <si>
    <t>research</t>
  </si>
  <si>
    <t>Service public de Wallonie</t>
  </si>
  <si>
    <t>National point cloud</t>
  </si>
  <si>
    <t>State Geodetic Administration</t>
  </si>
  <si>
    <t>Digitální model reliéfu České republiky 5G</t>
  </si>
  <si>
    <t>Digitální model reliéfu České republiky 4G</t>
  </si>
  <si>
    <t>Danmarks Højdemodel (DHM) / Punktsky</t>
  </si>
  <si>
    <t>ALS I</t>
  </si>
  <si>
    <t>ALS II</t>
  </si>
  <si>
    <t>ALS III</t>
  </si>
  <si>
    <t>ALS IV</t>
  </si>
  <si>
    <t>Laserkeilausaineisto 0,5p</t>
  </si>
  <si>
    <t>Laserkeilausaineisto 5p</t>
  </si>
  <si>
    <t>LiDAR Haute Densité (LiDAR HD)</t>
  </si>
  <si>
    <t>Litto3D</t>
  </si>
  <si>
    <t>ATKIS DGM1</t>
  </si>
  <si>
    <t>Landmælingar Íslands</t>
  </si>
  <si>
    <t>Dublin City Centre point cloud</t>
  </si>
  <si>
    <t>Open Topographic LiDAR Data</t>
  </si>
  <si>
    <t>Geological Survey Ireland</t>
  </si>
  <si>
    <t>National LiDAR point cloud</t>
  </si>
  <si>
    <t>GEO RiGA</t>
  </si>
  <si>
    <t>swissSURFACE3D</t>
  </si>
  <si>
    <t>National point cloud dataset</t>
  </si>
  <si>
    <t>LiDAR Tiles 2019</t>
  </si>
  <si>
    <t>Cloudisle</t>
  </si>
  <si>
    <t>Kartverket / Geovekst</t>
  </si>
  <si>
    <t>National LiDAR dataset</t>
  </si>
  <si>
    <t>Levantamento LiDAR de Portugal Continental</t>
  </si>
  <si>
    <t>CLSS – Cyclic Laser Scanning Survey of Slovenia</t>
  </si>
  <si>
    <t>Catalonia LiDAR</t>
  </si>
  <si>
    <t>Basque Country LiDAR</t>
  </si>
  <si>
    <t>SLS – NH</t>
  </si>
  <si>
    <t>SLS – Skog/Forest</t>
  </si>
  <si>
    <t>Federal Office of Topography swisstopo</t>
  </si>
  <si>
    <t>National LiDAR Programme</t>
  </si>
  <si>
    <t>Environment Agency</t>
  </si>
  <si>
    <t>Aerial Photography &amp; Cartography</t>
  </si>
  <si>
    <t>LiDAR dataset</t>
  </si>
  <si>
    <t>Ordnance Survey NI</t>
  </si>
  <si>
    <t>HED LiDAR</t>
  </si>
  <si>
    <t>Coverage</t>
  </si>
  <si>
    <t>City</t>
  </si>
  <si>
    <t>Regional</t>
  </si>
  <si>
    <t>Island</t>
  </si>
  <si>
    <t>Railway</t>
  </si>
  <si>
    <t>Street</t>
  </si>
  <si>
    <t>City - district</t>
  </si>
  <si>
    <t>Rock glacier</t>
  </si>
  <si>
    <t>Sinkhole</t>
  </si>
  <si>
    <t>Glacier</t>
  </si>
  <si>
    <t>Beach</t>
  </si>
  <si>
    <t>Landslide</t>
  </si>
  <si>
    <t>River valley</t>
  </si>
  <si>
    <t>Slope</t>
  </si>
  <si>
    <t>Forrest</t>
  </si>
  <si>
    <t>https://clss.si/</t>
  </si>
  <si>
    <t>https://assets.flycom.si/clss/navodila_pregledovalnik_clss.pdf</t>
  </si>
  <si>
    <t>https://www.skgeodesy.sk/files/sk/slovensky/ugkk/medzinarodna-spolupraca/kontrola-kvality-topografickych-udajov-poskytovanych-rezortom-ugkk-sr.pdf</t>
  </si>
  <si>
    <t xml:space="preserve"> UGKK SR</t>
  </si>
  <si>
    <t>https://www.idee.es/csw-inspire-idee/srv/dut/catalog.search#/metadata/spaignLIDAR_cob2</t>
  </si>
  <si>
    <t>https://www.idee.es/csw-inspire-idee/srv/dut/catalog.search#/metadata/spacarlidar2010</t>
  </si>
  <si>
    <t>https://www.idee.es/csw-inspire-idee/srv/dut/catalog.search#/metadata/spaignLIDAR_cob3</t>
  </si>
  <si>
    <t>Retorno sin clasificar</t>
  </si>
  <si>
    <t>Suelo</t>
  </si>
  <si>
    <t>Vegetación baja</t>
  </si>
  <si>
    <t>Vegetación media</t>
  </si>
  <si>
    <t>Vegetación alta</t>
  </si>
  <si>
    <t>Edificación</t>
  </si>
  <si>
    <t>EPSG:25830</t>
  </si>
  <si>
    <t>Ayuntamiento de Madrid</t>
  </si>
  <si>
    <t xml:space="preserve">Nube de puntos 3D del año 2023 </t>
  </si>
  <si>
    <t>https://datos.madrid.es/pages/condiciones-generales-ayuntamiento-de-madrid</t>
  </si>
  <si>
    <t>https://catalegs.ide.cat/geonetwork/srv/cat/catalog.search#/metadata/lidar-territorial-v3r1-2021-2023</t>
  </si>
  <si>
    <t>https://www.lantmateriet.se/en/geodata/our-products/product-list/laser-data-download-forest/</t>
  </si>
  <si>
    <t>onwards</t>
  </si>
  <si>
    <t>Laserdata Nedladdning, skog</t>
  </si>
  <si>
    <t>Laserdata Nedladdning, NH</t>
  </si>
  <si>
    <t>https://www.lantmateriet.se/sv/geodata/vara-produkter/produktlista/laserdata-nedladdning-nh/</t>
  </si>
  <si>
    <t>https://www.lantmateriet.se/sv/geodata/vara-produkter/bestall-geodata/</t>
  </si>
  <si>
    <t>https://www.lantmateriet.se/sv/geodata/vara-produkter/Villkor-och-avgifter/upphovsratt-och-publicering-av-lantmateriets-geografiska-information/</t>
  </si>
  <si>
    <t>Vegetation (low – medium – high)</t>
  </si>
  <si>
    <t>Building roofs</t>
  </si>
  <si>
    <t>High-voltage / power line</t>
  </si>
  <si>
    <t>Masts with a load-bearing function</t>
  </si>
  <si>
    <t>Bridge-, overpass-, viaduct- and footbridge deck</t>
  </si>
  <si>
    <t>ASPRS26: Building facades; ASPRS27: Bridge piers and viaduct stay cabels</t>
  </si>
  <si>
    <t>Bridges, viaducts</t>
  </si>
  <si>
    <t>https://www.swisstopo.admin.ch/en/terms-of-use-free-geodata-and-geoservices</t>
  </si>
  <si>
    <t>https://environment.data.gov.uk/support/faqs/275811163/275811177</t>
  </si>
  <si>
    <t>http://www.nationalarchives.gov.uk/doc/open-government-licence/</t>
  </si>
  <si>
    <t>Not open to public yet</t>
  </si>
  <si>
    <t xml:space="preserve">NRW LiDAR </t>
  </si>
  <si>
    <t>https://datamap.gov.wales/maps/lidar-data-download/view#/</t>
  </si>
  <si>
    <t>https://datamap.gov.wales/layers/geonode:welsh_government_lidar_tile_catalogue_2020_2023</t>
  </si>
  <si>
    <t>https://geoportal.ancpi.ro/portal/sharing/rest/content/items/4c820fcf2111417cb062acdcf7f6fef1/data</t>
  </si>
  <si>
    <t>https://www.geoportal.gov.pl/en/data/lidar-measurements-lidar/</t>
  </si>
  <si>
    <t>Created, never classified</t>
  </si>
  <si>
    <t>created but never classified;</t>
  </si>
  <si>
    <t>Medium vegetation [0,40m to 2m]</t>
  </si>
  <si>
    <t>Low vegetation [&lt;0.4m]</t>
  </si>
  <si>
    <t>High vegetation  [&gt;2m]</t>
  </si>
  <si>
    <t>buildings and engineering objects;</t>
  </si>
  <si>
    <t>0,5;2</t>
  </si>
  <si>
    <t>https://snig.dgterritorio.gov.pt/rndg/srv/por/catalog.search#/metadata/077a8c94-8b46-4a8a-8796-0d7fc4662f0c</t>
  </si>
  <si>
    <t>CC-BY-4.0</t>
  </si>
  <si>
    <t>https://register.geonorge.no/data/documents/sosi-standard-del-1-generell-del_SOSI%20produktspesifikasjoner%20%E2%80%93%20Krav%20og%20godkjenning_v1_sosi-produktspesifikasjoner-krav-og-godkjenning-5_0_.pdf</t>
  </si>
  <si>
    <t>0,8;0,25</t>
  </si>
  <si>
    <t>https://www.kadaster.nl/zakelijk/producten/geo-informatie/3d-producten/3d-basisvoorziening</t>
  </si>
  <si>
    <t>Kartverket &amp;  Agency for Real Estate Cadastre (AREC)</t>
  </si>
  <si>
    <t>Dataroom not available as the portal is not live anymore</t>
  </si>
  <si>
    <t>PNOA LiDAR 1</t>
  </si>
  <si>
    <t>PNOA LiDAR 2</t>
  </si>
  <si>
    <t>PNOA LiDAR 3</t>
  </si>
  <si>
    <t xml:space="preserve">Main_data </t>
  </si>
  <si>
    <t>https://www.ahn.nl/kwaliteitsbeschrijving</t>
  </si>
  <si>
    <t>https://basisdata.nl/hwh-ahn/AUX/bestekken/AHN4_inwinning.pdf</t>
  </si>
  <si>
    <t>https://www.tenderned.nl/aankondigingen/overzicht/275983</t>
  </si>
  <si>
    <t>https://www.tenderned.nl/aankondigingen/overzicht/340046</t>
  </si>
  <si>
    <t>https://cuatro.sim-cdn.nl/ahn/uploads/AHN2_kwaliteitsdocument.pdf?cb=6FKgWAiX</t>
  </si>
  <si>
    <t>Centro Nacional de Información Geográfica</t>
  </si>
  <si>
    <t>TU Delft</t>
  </si>
  <si>
    <t>Digitaal Hoogtemodel Vlaanderen 1</t>
  </si>
  <si>
    <t>Digitaal Hoogtemodel Vlaanderen 2</t>
  </si>
  <si>
    <t>No fee or login requiered</t>
  </si>
  <si>
    <t>Airborne Laserscanning (ALS) Primäre 3D Laserscan-Daten</t>
  </si>
  <si>
    <t>Geodatensuche Berlin</t>
  </si>
  <si>
    <t>Available through email</t>
  </si>
  <si>
    <t>Höhenmodelle - Landesamt Geoinformation Bremen</t>
  </si>
  <si>
    <t>Geoportal Hamburg</t>
  </si>
  <si>
    <t>Dreidimensional | Bodenmanagement Geoinformation</t>
  </si>
  <si>
    <t>Luftgestütztes Messverfahren | Bodenmanagement Geoinformation</t>
  </si>
  <si>
    <t>Beschreibung - LAiV M-V Downloadportal Geobasisdaten</t>
  </si>
  <si>
    <t>3D-Messdaten | Bezirksregierung Köln</t>
  </si>
  <si>
    <t>Geländeoberfläche ohne die darauf befindlichen Objekte</t>
  </si>
  <si>
    <t>Laserpunkte Gelände</t>
  </si>
  <si>
    <t>3D-Messdaten Laserscanning </t>
  </si>
  <si>
    <t>Digitale Geländemodelle (DGM) </t>
  </si>
  <si>
    <t>Landesamt für innere Verwaltung Amt für Geoinformation, Vermessungs- und Katasterwesen</t>
  </si>
  <si>
    <t>Landesamt Geoinformation Bremen</t>
  </si>
  <si>
    <t>Landesbetrieb Geoinformation und Vermessung (LGV) Hamburg</t>
  </si>
  <si>
    <t>Saarland 3D</t>
  </si>
  <si>
    <t>Saarland3D</t>
  </si>
  <si>
    <t>LVGL Saarland</t>
  </si>
  <si>
    <t>Höhen- und 3D-Stadtmodelle - Geobasisinformation - sachsen.de</t>
  </si>
  <si>
    <t>Geobasisinformation Sachsen</t>
  </si>
  <si>
    <t>Download, diensten en testgegevens - Basis geo-informatie - sachsen.de</t>
  </si>
  <si>
    <t>Landesamt für Vermessung und Geoinformation (LVermGeo) Sachsen-Anhalt</t>
  </si>
  <si>
    <t>3D-Messdaten - Geodatenportal Sachsen-Anhalt</t>
  </si>
  <si>
    <t>Open Data - Geodatenportal Sachsen-Anhalt</t>
  </si>
  <si>
    <t>3D-Messdaten</t>
  </si>
  <si>
    <t>1;5</t>
  </si>
  <si>
    <t>My GeoNetwork catalogue</t>
  </si>
  <si>
    <t>Landesamt für Vermessung und Geoinformation Schleswig-Holstein</t>
  </si>
  <si>
    <t>Download Höhendaten | Startseite Geoportal Th</t>
  </si>
  <si>
    <t>https://geoportal.geoportal-th.de/hoehendaten/Uebersichten/README_Hoehendaten_2010-2013.pdf</t>
  </si>
  <si>
    <t>https://geoportal.geoportal-th.de/hoehendaten/Uebersichten/README_Hoehendaten_2014-2019.pdf</t>
  </si>
  <si>
    <t>https://geoportal.geoportal-th.de/hoehendaten/Uebersichten/README_Hoehendaten_2020-2025.pdf</t>
  </si>
  <si>
    <t>SLS</t>
  </si>
  <si>
    <t>SLS,DM</t>
  </si>
  <si>
    <t>https://sites.google.com/uniroma1.it/3dchangedetection/home-page</t>
  </si>
  <si>
    <t>https://hpicgs.github.io/multi-temporal-point-cloud-datasets-survey/details/3DCD</t>
  </si>
  <si>
    <t>https://www.iosb.fraunhofer.de/en/competences/image-exploitation/object-recognition/3d-data/datasets/abenberg-als.html</t>
  </si>
  <si>
    <t>https://hpicgs.github.io/multi-temporal-point-cloud-datasets-survey/details/AbenbergALS</t>
  </si>
  <si>
    <t>https://kutao207.github.io</t>
  </si>
  <si>
    <t>https://doi.pangaea.de/10.1594/PANGAEA.934058</t>
  </si>
  <si>
    <t>https://phys-techsciences.datastations.nl/dataset.xhtml?persistentId=doi:10.17026/dans-xzg-nqdg</t>
  </si>
  <si>
    <t>https://doi.pangaea.de/10.1594/PANGAEA.902042</t>
  </si>
  <si>
    <t>https://heidata.uni-heidelberg.de/dataset.xhtml?persistentId=doi:10.11588/DATA/TGSVUI</t>
  </si>
  <si>
    <t>https://data.4tu.nl/datasets/1aac46fb-7900-4d4c-a099-d2ce354811d2/2</t>
  </si>
  <si>
    <t>https://coastscan.citg.tudelft.nl</t>
  </si>
  <si>
    <t>https://doi.pangaea.de/10.1594/PANGAEA.898939</t>
  </si>
  <si>
    <t>https://doi.pangaea.de/10.1594/PANGAEA.941550</t>
  </si>
  <si>
    <t>https://ieeexplore.ieee.org/document/9702133</t>
  </si>
  <si>
    <t>https://www.scanforest.fi/data/</t>
  </si>
  <si>
    <t>https://hpicgs.github.io/multi-temporal-point-cloud-datasets-survey/details/Evo_TLS</t>
  </si>
  <si>
    <t>https://etsin.fairdata.fi/dataset/3cd9e715-03bb-40da-a082-eb8a356de795</t>
  </si>
  <si>
    <t>Point clouds from years 2000 and 2021 from Kalkkinen test forest. The point clouds consist of the x, y, and z coordinates of the points. Data are named after the sensor. Reference data, collected in years 2001 and 2021, consists of tree ID, x and y coordinates, dbh, height and stem volumes. Units are mm, dm, and m^3. NaN values refer to damaged or fallen trees.
Data is part of Academy of Finland Research Infrastructure SCANFOREST (Measuring Spatiotemporal Changes in Forest Ecosystem Research Infrastructure) public data sets. https://www.scanforest.fi/</t>
  </si>
  <si>
    <t>https://www.mdpi.com/1999-4907/13/12/2040</t>
  </si>
  <si>
    <t>Finland Research Infrastructure SCANFOREST</t>
  </si>
  <si>
    <t>Arad</t>
  </si>
  <si>
    <t>https://sim.mase.gov.it/portalediaccesso/mappe/#/viewer/new</t>
  </si>
  <si>
    <t>CC BY 4.0 </t>
  </si>
  <si>
    <t>Products derived from LiDAR scanning on an air platform acquired by the Ministry of the Environment and Tuela of the Territory and the Sea under the Extraordinary Environmental Remote Sensing Plan. The findings concerned the I and II-order river auctions (hierarchical order in the IGM river catalogue) and the entire coastal strip. (information was taken from data.europa.eu)</t>
  </si>
  <si>
    <t>http://wms.pcn.minambiente.it/ogc?map=/ms_ogc/WMS_v1.3/servizi-LiDAR/LIDAR_SARDEGNA.map&amp;SERVICE=WMS&amp;VERSION=1.3.0&amp;REQUEST=GetCapabilities</t>
  </si>
  <si>
    <t>https://dati.emilia-romagna.it/dataset/r_emiro_2022-02-08t110324</t>
  </si>
  <si>
    <t>Latvijas Ģeotelpiskās informācijas aģentūra</t>
  </si>
  <si>
    <t>Creative Commons Attribution 4.0</t>
  </si>
  <si>
    <t>link_DEM</t>
  </si>
  <si>
    <t>https://www.lgia.gov.lv/en/Digit%C4%81lais%20reljefa%20modelis</t>
  </si>
  <si>
    <t>https://www.vlaanderen.be/datavindplaats/catalogus/digitaal-hoogtemodel-vlaanderen-ii-dtm-raster-1-m</t>
  </si>
  <si>
    <t>https://geoportail.wallonie.be/catalogue/a004e570-99d6-4fe5-b83d-49b774409278.html</t>
  </si>
  <si>
    <t>Τμήμα Κτηματολογίου και Χωρομετρίας</t>
  </si>
  <si>
    <t>https://www.data.gov.cy/el/dataset/ypsometria-inspire</t>
  </si>
  <si>
    <t>https://zenodo.org/records/6006664</t>
  </si>
  <si>
    <t>This dataset contains a TIF file for Cyprus elevations. The file merges all small areas TIF files from the Department of Lands and Surveys, and relates to altitude data. The digital terrain model is a homogeneous, regular point grid that shows ground elevation to create a model of Earth's surface. The data is based on the research of Marios S. Kyriakou. (2022). Cyprus Elevations 5m (2014) (v.1) [Data set]. Zenodo. https://doi.org/10.5281/zenodo.6006664</t>
  </si>
  <si>
    <t>Bayerische Vermessungsverwaltung</t>
  </si>
  <si>
    <t>Digitales Geländemodell 1m (DGM1)</t>
  </si>
  <si>
    <t>https://geodaten.bayern.de/opengeodata/OpenDataDetail.html?pn=dgm1</t>
  </si>
  <si>
    <t> GeoBasis-DE / LGB</t>
  </si>
  <si>
    <t> LGL</t>
  </si>
  <si>
    <t>https://centrodedescargas.cnig.es/CentroDescargas/modelo-digital-terreno-mdt05-primera-cobertura</t>
  </si>
  <si>
    <t> ETRS89UTM-zone32N</t>
  </si>
  <si>
    <t>https://www.geoportale.piemonte.it/geonetwork/srv/api/records/r_piemon:224de2ac-023e-441c-9ae0-ea493b217a8e</t>
  </si>
  <si>
    <t>https://www.kartverket.no/api-og-data/terrengdata</t>
  </si>
  <si>
    <t>https://environment.data.gov.uk/dataset/13787b9a-26a4-4775-8523-806d13af58fc</t>
  </si>
  <si>
    <t>https://www.geoportal.lt/geoportal/duomenu-paieska#queryText=lidar</t>
  </si>
  <si>
    <t>Nacionalinė žemės tarnyba prie Aplinkos ministerijos</t>
  </si>
  <si>
    <t>https://nzt.lrv.lt/lt/naujienos/netrukus-bus-paskelbti-naujausi-lidar-duomenys-5w4n/</t>
  </si>
  <si>
    <t>Releasing soon</t>
  </si>
  <si>
    <t>Order data through portal: https://www.geoportal.lt/idp/Authn/UserPassword</t>
  </si>
  <si>
    <t>https://data.gov.lt/datasets/3387/?resource_version=2178</t>
  </si>
  <si>
    <t>Public (contact provider for more information - agentura@ssva.lt)</t>
  </si>
  <si>
    <t>Piemonte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</si>
</sst>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1"/>
      <name val="Aptos Narrow"/>
      <family val="2"/>
      <scheme val="minor"/>
    </font>
    <font>
      <i/>
      <sz val="11"/>
      <color theme="1"/>
      <name val="Aptos Narrow"/>
      <family val="2"/>
      <scheme val="minor"/>
    </font>
    <font>
      <sz val="11"/>
      <color theme="1"/>
      <name val="Times New Roman"/>
      <family val="1"/>
    </font>
    <font>
      <u/>
      <sz val="11"/>
      <color theme="10"/>
      <name val="Aptos Narrow"/>
      <family val="2"/>
      <scheme val="minor"/>
    </font>
    <font>
      <sz val="11"/>
      <color rgb="FFCCCCCC"/>
      <name val="Consolas"/>
      <family val="3"/>
    </font>
    <font>
      <sz val="11"/>
      <color rgb="FF000000"/>
      <name val="Aptos Narrow"/>
      <family val="2"/>
      <scheme val="minor"/>
    </font>
    <font>
      <i/>
      <sz val="11"/>
      <color theme="1"/>
      <name val="Times New Roman"/>
      <family val="1"/>
    </font>
    <font>
      <sz val="7"/>
      <color theme="1"/>
      <name val="Times New Roman"/>
      <family val="1"/>
    </font>
    <font>
      <vertAlign val="superscript"/>
      <sz val="11"/>
      <color theme="1"/>
      <name val="Times New Roman"/>
      <family val="1"/>
    </font>
    <font>
      <b/>
      <sz val="11"/>
      <color rgb="FF9C0006"/>
      <name val="Aptos Narrow"/>
      <family val="2"/>
      <scheme val="minor"/>
    </font>
    <font>
      <sz val="8"/>
      <name val="Aptos Narrow"/>
      <family val="2"/>
      <scheme val="minor"/>
    </font>
    <font>
      <sz val="11"/>
      <color rgb="FF9C0006"/>
      <name val="Aptos Narrow"/>
      <family val="2"/>
      <charset val="1"/>
    </font>
    <font>
      <sz val="9"/>
      <name val="Arial"/>
      <family val="2"/>
    </font>
    <font>
      <b/>
      <sz val="11"/>
      <color theme="1"/>
      <name val="Aptos Narrow"/>
      <family val="2"/>
      <charset val="1"/>
    </font>
    <font>
      <sz val="11"/>
      <color theme="1"/>
      <name val="Times New Roman"/>
      <family val="1"/>
      <charset val="1"/>
    </font>
    <font>
      <sz val="11"/>
      <color rgb="FF006100"/>
      <name val="Aptos Narrow"/>
      <family val="2"/>
      <charset val="1"/>
    </font>
    <font>
      <sz val="12"/>
      <color rgb="FF1C1C1C"/>
      <name val="Arial"/>
      <family val="2"/>
    </font>
    <font>
      <sz val="14"/>
      <color rgb="FF000000"/>
      <name val="Times New Roman"/>
      <family val="1"/>
    </font>
    <font>
      <sz val="11"/>
      <color rgb="FF333333"/>
      <name val="Arial"/>
      <family val="2"/>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C7CE"/>
        <bgColor rgb="FF000000"/>
      </patternFill>
    </fill>
    <fill>
      <patternFill patternType="solid">
        <fgColor rgb="FFFFC7CE"/>
        <bgColor rgb="FFCCCCCC"/>
      </patternFill>
    </fill>
    <fill>
      <patternFill patternType="solid">
        <fgColor rgb="FFF2F2F2"/>
        <bgColor rgb="FFE2EFDA"/>
      </patternFill>
    </fill>
    <fill>
      <patternFill patternType="solid">
        <fgColor rgb="FFC6EFCE"/>
        <bgColor rgb="FFDAEEF3"/>
      </patternFill>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6" fillId="0" borderId="0" applyNumberFormat="0" applyFill="0" applyBorder="0" applyAlignment="0" applyProtection="0"/>
  </cellStyleXfs>
  <cellXfs count="35">
    <xf numFmtId="0" fontId="0" fillId="0" borderId="0" xfId="0"/>
    <xf numFmtId="0" fontId="3" fillId="0" borderId="0" xfId="0" applyFont="1"/>
    <xf numFmtId="0" fontId="5" fillId="0" borderId="0" xfId="0" applyFont="1"/>
    <xf numFmtId="0" fontId="5" fillId="0" borderId="1" xfId="0" applyFont="1" applyBorder="1" applyAlignment="1">
      <alignment horizontal="justify" vertical="center" wrapText="1"/>
    </xf>
    <xf numFmtId="0" fontId="2" fillId="3" borderId="0" xfId="2"/>
    <xf numFmtId="0" fontId="1" fillId="2" borderId="0" xfId="1"/>
    <xf numFmtId="0" fontId="6" fillId="0" borderId="0" xfId="3"/>
    <xf numFmtId="0" fontId="6" fillId="0" borderId="0" xfId="3" applyAlignment="1">
      <alignment horizontal="justify" vertical="center"/>
    </xf>
    <xf numFmtId="0" fontId="7" fillId="0" borderId="0" xfId="0" applyFont="1" applyAlignment="1">
      <alignment vertical="center"/>
    </xf>
    <xf numFmtId="0" fontId="5" fillId="0" borderId="0" xfId="0" applyFont="1" applyAlignment="1">
      <alignment horizontal="justify" vertical="center" wrapText="1"/>
    </xf>
    <xf numFmtId="0" fontId="8" fillId="0" borderId="0" xfId="0" applyFont="1"/>
    <xf numFmtId="0" fontId="2" fillId="4" borderId="0" xfId="0" applyFont="1" applyFill="1"/>
    <xf numFmtId="0" fontId="6" fillId="0" borderId="0" xfId="3" applyAlignment="1">
      <alignment vertical="center"/>
    </xf>
    <xf numFmtId="0" fontId="5" fillId="0" borderId="0" xfId="0" applyFont="1" applyAlignment="1">
      <alignment horizontal="justify" vertical="center"/>
    </xf>
    <xf numFmtId="0" fontId="5" fillId="0" borderId="0" xfId="0" applyFont="1" applyAlignment="1">
      <alignment wrapText="1"/>
    </xf>
    <xf numFmtId="0" fontId="0" fillId="0" borderId="0" xfId="0" applyAlignment="1">
      <alignment wrapText="1"/>
    </xf>
    <xf numFmtId="0" fontId="12" fillId="3" borderId="0" xfId="2" applyFont="1"/>
    <xf numFmtId="0" fontId="6" fillId="0" borderId="0" xfId="3" applyAlignment="1">
      <alignment wrapText="1"/>
    </xf>
    <xf numFmtId="0" fontId="2" fillId="3" borderId="0" xfId="2" applyAlignment="1">
      <alignment wrapText="1"/>
    </xf>
    <xf numFmtId="0" fontId="6" fillId="2" borderId="0" xfId="3" applyFill="1"/>
    <xf numFmtId="0" fontId="6" fillId="3" borderId="0" xfId="3" applyFill="1"/>
    <xf numFmtId="0" fontId="4" fillId="0" borderId="0" xfId="0" applyFont="1"/>
    <xf numFmtId="0" fontId="14" fillId="5" borderId="0" xfId="0" applyFont="1" applyFill="1"/>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0" fontId="15" fillId="6" borderId="2" xfId="0" applyFont="1" applyFill="1" applyBorder="1" applyAlignment="1">
      <alignment horizontal="left" vertical="center" wrapText="1"/>
    </xf>
    <xf numFmtId="0" fontId="16" fillId="0" borderId="0" xfId="0" applyFont="1"/>
    <xf numFmtId="0" fontId="17" fillId="0" borderId="0" xfId="0" applyFont="1"/>
    <xf numFmtId="0" fontId="18" fillId="7" borderId="0" xfId="0" applyFont="1" applyFill="1"/>
    <xf numFmtId="0" fontId="0" fillId="0" borderId="0" xfId="0" applyAlignment="1">
      <alignment vertical="center" wrapText="1"/>
    </xf>
    <xf numFmtId="0" fontId="19" fillId="0" borderId="0" xfId="0" applyFont="1"/>
    <xf numFmtId="0" fontId="20" fillId="0" borderId="0" xfId="0" applyFont="1"/>
    <xf numFmtId="0" fontId="21" fillId="0" borderId="0" xfId="0" applyFont="1"/>
    <xf numFmtId="0" fontId="0" fillId="8" borderId="0" xfId="0" applyFont="1" applyFill="1"/>
    <xf numFmtId="0" fontId="0" fillId="8" borderId="0" xfId="2" applyFont="1" applyFill="1"/>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ovdata.de/dl-de/by-2-0" TargetMode="External"/><Relationship Id="rId21" Type="http://schemas.openxmlformats.org/officeDocument/2006/relationships/hyperlink" Target="https://gn.mase.gov.it/portale/en/data-distribution-services-pst?p_l_back_url=%2Fportale%2Fen%2Fricerca%3Fr%3Dlidar" TargetMode="External"/><Relationship Id="rId42" Type="http://schemas.openxmlformats.org/officeDocument/2006/relationships/hyperlink" Target="http://gis.arso.gov.si/evode/profile.aspx?id=atlas_voda_Lidar@Arso&amp;culture=en-US" TargetMode="External"/><Relationship Id="rId47" Type="http://schemas.openxmlformats.org/officeDocument/2006/relationships/hyperlink" Target="https://www.swisstopo.admin.ch/en/height-model-swisssurface3d" TargetMode="External"/><Relationship Id="rId63" Type="http://schemas.openxmlformats.org/officeDocument/2006/relationships/hyperlink" Target="https://www.lvermgeo.sachsen-anhalt.de/de/gdp-3d-messdaten.html" TargetMode="External"/><Relationship Id="rId68" Type="http://schemas.openxmlformats.org/officeDocument/2006/relationships/hyperlink" Target="https://geoportal.thueringen.de/gdi-th/download-offene-geodaten/download-hoehendaten" TargetMode="External"/><Relationship Id="rId2" Type="http://schemas.openxmlformats.org/officeDocument/2006/relationships/hyperlink" Target="https://metaver.de/trefferanzeige?docuuid=A39B4E86-15E2-4BF7-BA82-66F9913D5640" TargetMode="External"/><Relationship Id="rId16" Type="http://schemas.openxmlformats.org/officeDocument/2006/relationships/hyperlink" Target="https://www.kartverket.no/en/about-kartverket/international-services/story2" TargetMode="External"/><Relationship Id="rId29" Type="http://schemas.openxmlformats.org/officeDocument/2006/relationships/hyperlink" Target="https://www.govdata.de/dl-de/by-2-0" TargetMode="External"/><Relationship Id="rId11" Type="http://schemas.openxmlformats.org/officeDocument/2006/relationships/hyperlink" Target="https://www.maanmittauslaitos.fi/en/maps-and-spatial-data/datasets-and-interfaces/product-descriptions/laser-scanning-data-5-p" TargetMode="External"/><Relationship Id="rId24" Type="http://schemas.openxmlformats.org/officeDocument/2006/relationships/hyperlink" Target="https://www.govdata.de/dl-de/by-2-0" TargetMode="External"/><Relationship Id="rId32" Type="http://schemas.openxmlformats.org/officeDocument/2006/relationships/hyperlink" Target="https://www.govdata.de/dl-de/by-2-0" TargetMode="External"/><Relationship Id="rId37" Type="http://schemas.openxmlformats.org/officeDocument/2006/relationships/hyperlink" Target="https://geoportal.cuzk.cz/(S(cnecbknewnpugy55t0ifgc0v))/Default.aspx?mode=TextMeta&amp;metadataXSL=full&amp;side=vyskopis&amp;metadataID=CZ-CUZK-DMR5G-V" TargetMode="External"/><Relationship Id="rId40" Type="http://schemas.openxmlformats.org/officeDocument/2006/relationships/hyperlink" Target="https://geoportaal.maaamet.ee/eng/spatial-data/elevation-data-p308.html" TargetMode="External"/><Relationship Id="rId45" Type="http://schemas.openxmlformats.org/officeDocument/2006/relationships/hyperlink" Target="https://centrodedescargas.cnig.es/CentroDescargas/lidar-tercera-cobertura" TargetMode="External"/><Relationship Id="rId53" Type="http://schemas.openxmlformats.org/officeDocument/2006/relationships/hyperlink" Target="https://geoportal-hamburg.de/?mdid=A39B4E86-15E2-4BF7-BA82-66F9913D5640" TargetMode="External"/><Relationship Id="rId58" Type="http://schemas.openxmlformats.org/officeDocument/2006/relationships/hyperlink" Target="https://lvermgeo.rlp.de/fileadmin/lvermgeo/pdf/produktblaetter/Laserpunkte.pdf" TargetMode="External"/><Relationship Id="rId66" Type="http://schemas.openxmlformats.org/officeDocument/2006/relationships/hyperlink" Target="https://www.gdi-sh.de/gdish/DE/AufgabenZiele/SHMIS.html" TargetMode="External"/><Relationship Id="rId5" Type="http://schemas.openxmlformats.org/officeDocument/2006/relationships/hyperlink" Target="https://geoshop.rlp.de/laserpunkte/laserpunkte_gelaende_lpg.html" TargetMode="External"/><Relationship Id="rId61" Type="http://schemas.openxmlformats.org/officeDocument/2006/relationships/hyperlink" Target="https://www.landesvermessung.sachsen.de/hoehen-und-3d-stadtmodelle-8641.html" TargetMode="External"/><Relationship Id="rId19" Type="http://schemas.openxmlformats.org/officeDocument/2006/relationships/hyperlink" Target="https://portal.opentopography.org/dataspace/dataset?opentopoID=OTDS.112018.32635.1" TargetMode="External"/><Relationship Id="rId14" Type="http://schemas.openxmlformats.org/officeDocument/2006/relationships/hyperlink" Target="https://mapy.tuzvo.sk/HOFM/Default.aspx" TargetMode="External"/><Relationship Id="rId22" Type="http://schemas.openxmlformats.org/officeDocument/2006/relationships/hyperlink" Target="https://www.icgc.cat/es/Geoinformacion-y-mapas/Datos-y-productos/Bessons-digitals-Elevacions/LiDAR-Territorial" TargetMode="External"/><Relationship Id="rId27" Type="http://schemas.openxmlformats.org/officeDocument/2006/relationships/hyperlink" Target="https://www.govdata.de/dl-de/by-2-0" TargetMode="External"/><Relationship Id="rId30" Type="http://schemas.openxmlformats.org/officeDocument/2006/relationships/hyperlink" Target="https://www.govdata.de/dl-de/by-2-0" TargetMode="External"/><Relationship Id="rId35" Type="http://schemas.openxmlformats.org/officeDocument/2006/relationships/hyperlink" Target="https://www.tirol.gv.at/fileadmin/themen/sicherheit/geoinformation/Laserscandaten/ALS_Tirol_Onlinebericht.pdf" TargetMode="External"/><Relationship Id="rId43" Type="http://schemas.openxmlformats.org/officeDocument/2006/relationships/hyperlink" Target="https://centrodedescargas.cnig.es/CentroDescargas/lidar-tercera-cobertura" TargetMode="External"/><Relationship Id="rId48" Type="http://schemas.openxmlformats.org/officeDocument/2006/relationships/hyperlink" Target="https://datos.gob.es/en/catalogo/conjuntos-datos?publisher_display_name=Centro+Nacional+de+Informaci%C3%B3n+Geogr%C3%A1fica" TargetMode="External"/><Relationship Id="rId56" Type="http://schemas.openxmlformats.org/officeDocument/2006/relationships/hyperlink" Target="https://laiv.geodaten-mv.de/afgvk/Geotopographie/Beschreibung?produkt=DGM" TargetMode="External"/><Relationship Id="rId64" Type="http://schemas.openxmlformats.org/officeDocument/2006/relationships/hyperlink" Target="https://www.lvermgeo.sachsen-anhalt.de/de/gdp-open-data.html" TargetMode="External"/><Relationship Id="rId69" Type="http://schemas.openxmlformats.org/officeDocument/2006/relationships/hyperlink" Target="https://geoportal.thueringen.de/gdi-th/download-offene-geodaten/download-hoehendaten" TargetMode="External"/><Relationship Id="rId8" Type="http://schemas.openxmlformats.org/officeDocument/2006/relationships/hyperlink" Target="https://www.lgln.niedersachsen.de/startseite/geodaten_karten/3d_geobasisdaten/3d_messdaten/3d-messdaten-142870.html" TargetMode="External"/><Relationship Id="rId51" Type="http://schemas.openxmlformats.org/officeDocument/2006/relationships/hyperlink" Target="https://metaver.de/trefferanzeige?docuuid=9AEAE758-FC12-4D9E-AF5E-68537A678588" TargetMode="External"/><Relationship Id="rId72" Type="http://schemas.openxmlformats.org/officeDocument/2006/relationships/hyperlink" Target="https://nzt.lrv.lt/lt/" TargetMode="External"/><Relationship Id="rId3" Type="http://schemas.openxmlformats.org/officeDocument/2006/relationships/hyperlink" Target="https://www.laiv-mv.de/Geoinformation/Geobasisdaten/Gelaendemodelle/" TargetMode="External"/><Relationship Id="rId12" Type="http://schemas.openxmlformats.org/officeDocument/2006/relationships/hyperlink" Target="http://www.geoportal.gov.pl/" TargetMode="External"/><Relationship Id="rId17" Type="http://schemas.openxmlformats.org/officeDocument/2006/relationships/hyperlink" Target="https://data.gov.ie/dataset/open-topographic-lidar-data" TargetMode="External"/><Relationship Id="rId25" Type="http://schemas.openxmlformats.org/officeDocument/2006/relationships/hyperlink" Target="https://www.govdata.de/dl-de/by-2-0" TargetMode="External"/><Relationship Id="rId33" Type="http://schemas.openxmlformats.org/officeDocument/2006/relationships/hyperlink" Target="https://www.govdata.de/dl-de/by-2-0" TargetMode="External"/><Relationship Id="rId38" Type="http://schemas.openxmlformats.org/officeDocument/2006/relationships/hyperlink" Target="https://geoportaal.maaamet.ee/eng/spatial-data/elevation-data-p308.html" TargetMode="External"/><Relationship Id="rId46" Type="http://schemas.openxmlformats.org/officeDocument/2006/relationships/hyperlink" Target="https://datos.madrid.es/pages/condiciones-generales-ayuntamiento-de-madrid" TargetMode="External"/><Relationship Id="rId59" Type="http://schemas.openxmlformats.org/officeDocument/2006/relationships/hyperlink" Target="https://metaver.de/trefferanzeige?docuuid=F5A1078F-25C2-4111-B497-877CDCACD9D5&amp;isAddress=true" TargetMode="External"/><Relationship Id="rId67" Type="http://schemas.openxmlformats.org/officeDocument/2006/relationships/hyperlink" Target="https://geoportal.thueringen.de/gdi-th/download-offene-geodaten/download-hoehendaten" TargetMode="External"/><Relationship Id="rId20" Type="http://schemas.openxmlformats.org/officeDocument/2006/relationships/hyperlink" Target="https://www.swisstopo.admin.ch/en/height-model-swisssurface3d" TargetMode="External"/><Relationship Id="rId41" Type="http://schemas.openxmlformats.org/officeDocument/2006/relationships/hyperlink" Target="https://www.maanmittauslaitos.fi/en/maps-and-spatial-data/datasets-and-interfaces/product-descriptions/laser-scanning-data-5-p" TargetMode="External"/><Relationship Id="rId54" Type="http://schemas.openxmlformats.org/officeDocument/2006/relationships/hyperlink" Target="https://hvbg.hessen.de/landesvermessung/geotopographie/3d-daten" TargetMode="External"/><Relationship Id="rId62" Type="http://schemas.openxmlformats.org/officeDocument/2006/relationships/hyperlink" Target="https://www.landesvermessung.sachsen.de/download-dienste-und-testdaten-8647.html" TargetMode="External"/><Relationship Id="rId70" Type="http://schemas.openxmlformats.org/officeDocument/2006/relationships/hyperlink" Target="https://geoportale.regione.emilia-romagna.it/approfondimenti/rer23_24" TargetMode="External"/><Relationship Id="rId1" Type="http://schemas.openxmlformats.org/officeDocument/2006/relationships/hyperlink" Target="https://gdi.berlin.de/geonetwork/srv/api/records/85a97801-36bb-4627-8790-f5e53b1e38b3" TargetMode="External"/><Relationship Id="rId6" Type="http://schemas.openxmlformats.org/officeDocument/2006/relationships/hyperlink" Target="https://www.shop.lvgl.saarland.de/index.php?option=com_virtuemart&amp;view=category&amp;virtuemart_category_id=1067&amp;Itemid=156" TargetMode="External"/><Relationship Id="rId15" Type="http://schemas.openxmlformats.org/officeDocument/2006/relationships/hyperlink" Target="https://spoorinbeeld.nl/" TargetMode="External"/><Relationship Id="rId23" Type="http://schemas.openxmlformats.org/officeDocument/2006/relationships/hyperlink" Target="https://www.govdata.de/dl-de/by-2-0" TargetMode="External"/><Relationship Id="rId28" Type="http://schemas.openxmlformats.org/officeDocument/2006/relationships/hyperlink" Target="https://www.govdata.de/dl-de/by-2-0" TargetMode="External"/><Relationship Id="rId36" Type="http://schemas.openxmlformats.org/officeDocument/2006/relationships/hyperlink" Target="https://datastore.brussels/web/data/dataset/ff1124e1-424e-11ee-b156-00090ffe0001" TargetMode="External"/><Relationship Id="rId49" Type="http://schemas.openxmlformats.org/officeDocument/2006/relationships/hyperlink" Target="https://datos.gob.es/en/catalogo/conjuntos-datos?publisher_display_name=Centro+Nacional+de+Informaci%C3%B3n+Geogr%C3%A1fica" TargetMode="External"/><Relationship Id="rId57" Type="http://schemas.openxmlformats.org/officeDocument/2006/relationships/hyperlink" Target="https://www.bezreg-koeln.nrw.de/geobasis-nrw/produkte-und-dienste/hoehenmodelle/3d-messdaten" TargetMode="External"/><Relationship Id="rId10" Type="http://schemas.openxmlformats.org/officeDocument/2006/relationships/hyperlink" Target="https://geoportaal.maaamet.ee/eng/spatial-data/elevation-data-p308.html" TargetMode="External"/><Relationship Id="rId31" Type="http://schemas.openxmlformats.org/officeDocument/2006/relationships/hyperlink" Target="https://www.govdata.de/dl-de/by-2-0" TargetMode="External"/><Relationship Id="rId44" Type="http://schemas.openxmlformats.org/officeDocument/2006/relationships/hyperlink" Target="https://centrodedescargas.cnig.es/CentroDescargas/lidar-tercera-cobertura" TargetMode="External"/><Relationship Id="rId52" Type="http://schemas.openxmlformats.org/officeDocument/2006/relationships/hyperlink" Target="https://www.geo.bremen.de/produkte/3d-produkte/hoehenmodelle-12482" TargetMode="External"/><Relationship Id="rId60" Type="http://schemas.openxmlformats.org/officeDocument/2006/relationships/hyperlink" Target="https://www.shop.lvgl.saarland.de/mogi3d/" TargetMode="External"/><Relationship Id="rId65" Type="http://schemas.openxmlformats.org/officeDocument/2006/relationships/hyperlink" Target="https://gdk.gdi-de.org/geonetwork/srv/eng/catalog.search" TargetMode="External"/><Relationship Id="rId73" Type="http://schemas.openxmlformats.org/officeDocument/2006/relationships/printerSettings" Target="../printerSettings/printerSettings1.bin"/><Relationship Id="rId4" Type="http://schemas.openxmlformats.org/officeDocument/2006/relationships/hyperlink" Target="https://www.opengeodata.nrw.de/produkte/geobasis/hm/3dm_l_las/3dm_l_las/" TargetMode="External"/><Relationship Id="rId9" Type="http://schemas.openxmlformats.org/officeDocument/2006/relationships/hyperlink" Target="https://geoportal.cuzk.cz/(S(cnecbknewnpugy55t0ifgc0v))/Default.aspx?mode=TextMeta&amp;metadataXSL=full&amp;side=vyskopis&amp;metadataID=CZ-CUZK-DMR5G-V" TargetMode="External"/><Relationship Id="rId13" Type="http://schemas.openxmlformats.org/officeDocument/2006/relationships/hyperlink" Target="https://cdd.dgterritorio.gov.pt/dgt-fe/catalogos/colecoes?filter=LiDAR+-+Modelos+Digitais+do+Relevo&amp;language=en" TargetMode="External"/><Relationship Id="rId18" Type="http://schemas.openxmlformats.org/officeDocument/2006/relationships/hyperlink" Target="https://kortasja.lmi.is/mapview/?application=kortasja&amp;l=en" TargetMode="External"/><Relationship Id="rId39" Type="http://schemas.openxmlformats.org/officeDocument/2006/relationships/hyperlink" Target="https://geoportaal.maaamet.ee/eng/spatial-data/elevation-data-p308.html" TargetMode="External"/><Relationship Id="rId34" Type="http://schemas.openxmlformats.org/officeDocument/2006/relationships/hyperlink" Target="https://www.govdata.de/dl-de/by-2-0" TargetMode="External"/><Relationship Id="rId50" Type="http://schemas.openxmlformats.org/officeDocument/2006/relationships/hyperlink" Target="https://datos.gob.es/en/catalogo/conjuntos-datos?publisher_display_name=Centro+Nacional+de+Informaci%C3%B3n+Geogr%C3%A1fica" TargetMode="External"/><Relationship Id="rId55" Type="http://schemas.openxmlformats.org/officeDocument/2006/relationships/hyperlink" Target="https://hvbg.hessen.de/landesvermessung/geotopographie/3d-daten/airborne-laserscanning" TargetMode="External"/><Relationship Id="rId7" Type="http://schemas.openxmlformats.org/officeDocument/2006/relationships/hyperlink" Target="https://gdk.gdi-de.org/geonetwork/srv/eng/catalog.search" TargetMode="External"/><Relationship Id="rId71" Type="http://schemas.openxmlformats.org/officeDocument/2006/relationships/hyperlink" Target="https://nzt.lrv.lt/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36EA-B957-4F0A-8B9F-9843A7BBC402}">
  <dimension ref="A1:BK154"/>
  <sheetViews>
    <sheetView tabSelected="1" topLeftCell="A30" zoomScale="70" zoomScaleNormal="70" workbookViewId="0">
      <pane xSplit="1" topLeftCell="B1" activePane="topRight" state="frozen"/>
      <selection pane="topRight" activeCell="A35" sqref="A35:XFD35"/>
    </sheetView>
  </sheetViews>
  <sheetFormatPr baseColWidth="10" defaultColWidth="8.83203125" defaultRowHeight="15" x14ac:dyDescent="0.2"/>
  <cols>
    <col min="1" max="1" width="27.33203125" bestFit="1" customWidth="1"/>
    <col min="3" max="3" width="18.83203125" customWidth="1"/>
    <col min="4" max="4" width="27.33203125" bestFit="1" customWidth="1"/>
    <col min="5" max="5" width="27.33203125" customWidth="1"/>
    <col min="6" max="6" width="19.33203125" customWidth="1"/>
    <col min="7" max="7" width="27.33203125" customWidth="1"/>
    <col min="9" max="9" width="27.33203125" customWidth="1"/>
    <col min="10" max="13" width="39.6640625" customWidth="1"/>
    <col min="15" max="17" width="12.5" customWidth="1"/>
    <col min="19" max="19" width="12.5" customWidth="1"/>
    <col min="20" max="21" width="12" bestFit="1" customWidth="1"/>
    <col min="22" max="22" width="13" bestFit="1" customWidth="1"/>
    <col min="23" max="23" width="12.5" bestFit="1" customWidth="1"/>
    <col min="24" max="24" width="12.5" customWidth="1"/>
    <col min="25" max="25" width="12" bestFit="1" customWidth="1"/>
    <col min="26" max="26" width="9.33203125" customWidth="1"/>
    <col min="28" max="28" width="10" bestFit="1" customWidth="1"/>
    <col min="32" max="32" width="119.5" customWidth="1"/>
    <col min="33" max="33" width="12.83203125" bestFit="1" customWidth="1"/>
    <col min="34" max="35" width="27.6640625" customWidth="1"/>
    <col min="36" max="36" width="16.83203125" bestFit="1" customWidth="1"/>
    <col min="37" max="37" width="18.5" bestFit="1" customWidth="1"/>
    <col min="38" max="38" width="24.6640625" bestFit="1" customWidth="1"/>
  </cols>
  <sheetData>
    <row r="1" spans="1:55" s="1" customFormat="1" x14ac:dyDescent="0.2">
      <c r="A1" s="1" t="s">
        <v>2</v>
      </c>
      <c r="B1" s="1" t="s">
        <v>0</v>
      </c>
      <c r="C1" s="1" t="s">
        <v>1</v>
      </c>
      <c r="D1" s="1" t="s">
        <v>2</v>
      </c>
      <c r="E1" s="1" t="s">
        <v>360</v>
      </c>
      <c r="F1" s="1" t="s">
        <v>333</v>
      </c>
      <c r="G1" s="1" t="s">
        <v>322</v>
      </c>
      <c r="H1" s="1" t="s">
        <v>617</v>
      </c>
      <c r="I1" s="1" t="s">
        <v>690</v>
      </c>
      <c r="J1" s="1" t="s">
        <v>3</v>
      </c>
      <c r="K1" s="1" t="s">
        <v>4</v>
      </c>
      <c r="L1" s="1" t="s">
        <v>5</v>
      </c>
      <c r="M1" s="1" t="s">
        <v>6</v>
      </c>
      <c r="N1" s="1" t="s">
        <v>316</v>
      </c>
      <c r="O1" s="1" t="s">
        <v>7</v>
      </c>
      <c r="P1" s="1" t="s">
        <v>343</v>
      </c>
      <c r="Q1" s="1" t="s">
        <v>344</v>
      </c>
      <c r="R1" s="1" t="s">
        <v>345</v>
      </c>
      <c r="S1" s="1" t="s">
        <v>346</v>
      </c>
      <c r="T1" s="1" t="s">
        <v>8</v>
      </c>
      <c r="U1" s="1" t="s">
        <v>9</v>
      </c>
      <c r="V1" s="1" t="s">
        <v>10</v>
      </c>
      <c r="W1" s="1" t="s">
        <v>11</v>
      </c>
      <c r="X1" s="1" t="s">
        <v>12</v>
      </c>
      <c r="Y1" s="1" t="s">
        <v>13</v>
      </c>
      <c r="Z1" s="1" t="s">
        <v>14</v>
      </c>
      <c r="AA1" s="1" t="s">
        <v>351</v>
      </c>
      <c r="AB1" s="1" t="s">
        <v>352</v>
      </c>
      <c r="AC1" s="1" t="s">
        <v>15</v>
      </c>
      <c r="AD1" s="1" t="s">
        <v>363</v>
      </c>
      <c r="AE1" s="1" t="s">
        <v>764</v>
      </c>
      <c r="AF1" s="1" t="s">
        <v>364</v>
      </c>
      <c r="AG1" s="16" t="s">
        <v>16</v>
      </c>
      <c r="AH1" s="1" t="s">
        <v>295</v>
      </c>
      <c r="AI1" s="1" t="s">
        <v>673</v>
      </c>
      <c r="AJ1" s="26" t="s">
        <v>278</v>
      </c>
      <c r="AK1" s="26" t="s">
        <v>296</v>
      </c>
      <c r="AL1" s="26" t="s">
        <v>280</v>
      </c>
      <c r="AM1" s="26" t="s">
        <v>281</v>
      </c>
      <c r="AN1" s="26" t="s">
        <v>282</v>
      </c>
      <c r="AO1" s="26" t="s">
        <v>297</v>
      </c>
      <c r="AP1" s="26" t="s">
        <v>298</v>
      </c>
      <c r="AQ1" s="26" t="s">
        <v>299</v>
      </c>
      <c r="AR1" s="26" t="s">
        <v>284</v>
      </c>
      <c r="AS1" s="26" t="s">
        <v>300</v>
      </c>
      <c r="AT1" s="26" t="s">
        <v>301</v>
      </c>
      <c r="AU1" s="26" t="s">
        <v>302</v>
      </c>
      <c r="AV1" s="26" t="s">
        <v>303</v>
      </c>
      <c r="AW1" s="26" t="s">
        <v>304</v>
      </c>
      <c r="AX1" s="26" t="s">
        <v>305</v>
      </c>
      <c r="AY1" s="26" t="s">
        <v>306</v>
      </c>
      <c r="AZ1" s="26" t="s">
        <v>307</v>
      </c>
      <c r="BA1" s="26" t="s">
        <v>308</v>
      </c>
      <c r="BB1" s="26" t="s">
        <v>309</v>
      </c>
      <c r="BC1" s="1" t="s">
        <v>309</v>
      </c>
    </row>
    <row r="2" spans="1:55" s="4" customFormat="1" x14ac:dyDescent="0.2">
      <c r="A2" s="4" t="s">
        <v>17</v>
      </c>
      <c r="B2" s="4">
        <v>0</v>
      </c>
      <c r="C2" s="4" t="s">
        <v>17</v>
      </c>
      <c r="D2" s="4" t="s">
        <v>17</v>
      </c>
      <c r="I2" s="4">
        <v>0</v>
      </c>
      <c r="V2" t="str">
        <f t="shared" ref="V2:V34" si="0">IF(NOT(ISBLANK(T2)), IF(T2&gt;=AVERAGE($T$2:$T$125), 1, 0), IF(NOT(ISBLANK(U2)), IF(U2&gt;=AVERAGE($U$2:$U$125), 1, 0), "geen data"))</f>
        <v>geen data</v>
      </c>
      <c r="X2" s="4" t="str">
        <f t="shared" ref="X2:X18" si="1">IF(ISBLANK(W2), "geen data", IF(W2&lt;=AVERAGE($W$2:$W$125), 1, 0))</f>
        <v>geen data</v>
      </c>
      <c r="Z2" s="4" t="str">
        <f t="shared" ref="Z2:Z18" si="2">IF(ISBLANK(Y2), "geen data", IF(Y2&lt;=AVERAGE($Y$2:$Y$125), 1, 0))</f>
        <v>geen data</v>
      </c>
      <c r="AG2" s="4" t="s">
        <v>18</v>
      </c>
      <c r="AH2" s="4">
        <v>0</v>
      </c>
      <c r="AJ2" s="22"/>
      <c r="AK2" s="22"/>
      <c r="AL2" s="22"/>
      <c r="AM2" s="22"/>
      <c r="AN2" s="22"/>
      <c r="AO2" s="22"/>
      <c r="AP2" s="22"/>
      <c r="AQ2" s="22"/>
      <c r="AR2" s="22"/>
      <c r="AS2" s="22"/>
      <c r="AT2" s="22"/>
      <c r="AU2" s="22"/>
      <c r="AV2" s="22"/>
      <c r="AW2" s="22"/>
      <c r="AX2" s="22"/>
      <c r="AY2" s="22"/>
      <c r="AZ2" s="22"/>
      <c r="BA2" s="22"/>
      <c r="BB2" s="22"/>
    </row>
    <row r="3" spans="1:55" s="4" customFormat="1" x14ac:dyDescent="0.2">
      <c r="A3" s="4" t="s">
        <v>19</v>
      </c>
      <c r="B3" s="4">
        <v>0</v>
      </c>
      <c r="C3" s="4" t="s">
        <v>19</v>
      </c>
      <c r="D3" s="4" t="s">
        <v>19</v>
      </c>
      <c r="I3" s="4">
        <v>0</v>
      </c>
      <c r="V3" t="str">
        <f t="shared" si="0"/>
        <v>geen data</v>
      </c>
      <c r="X3" s="4" t="str">
        <f t="shared" si="1"/>
        <v>geen data</v>
      </c>
      <c r="Z3" s="4" t="str">
        <f t="shared" si="2"/>
        <v>geen data</v>
      </c>
      <c r="AG3" s="4" t="s">
        <v>18</v>
      </c>
      <c r="AH3" s="4">
        <v>0</v>
      </c>
      <c r="AJ3" s="22"/>
      <c r="AK3" s="22"/>
      <c r="AL3" s="22"/>
      <c r="AM3" s="22"/>
      <c r="AN3" s="22"/>
      <c r="AO3" s="22"/>
      <c r="AP3" s="22"/>
      <c r="AQ3" s="22"/>
      <c r="AR3" s="22"/>
      <c r="AS3" s="22"/>
      <c r="AT3" s="22"/>
      <c r="AU3" s="22"/>
      <c r="AV3" s="22"/>
      <c r="AW3" s="22"/>
      <c r="AX3" s="22"/>
      <c r="AY3" s="22"/>
      <c r="AZ3" s="22"/>
      <c r="BA3" s="22"/>
      <c r="BB3" s="22"/>
    </row>
    <row r="4" spans="1:55" s="4" customFormat="1" x14ac:dyDescent="0.2">
      <c r="A4" s="4" t="s">
        <v>20</v>
      </c>
      <c r="B4" s="4">
        <v>0</v>
      </c>
      <c r="C4" s="4" t="s">
        <v>20</v>
      </c>
      <c r="D4" s="4" t="s">
        <v>20</v>
      </c>
      <c r="I4" s="4">
        <v>0</v>
      </c>
      <c r="J4" t="s">
        <v>3</v>
      </c>
      <c r="K4" s="2" t="s">
        <v>21</v>
      </c>
      <c r="L4" s="2"/>
      <c r="M4" t="s">
        <v>22</v>
      </c>
      <c r="V4" t="str">
        <f t="shared" si="0"/>
        <v>geen data</v>
      </c>
      <c r="X4" s="4" t="str">
        <f t="shared" si="1"/>
        <v>geen data</v>
      </c>
      <c r="Z4" s="4" t="str">
        <f t="shared" si="2"/>
        <v>geen data</v>
      </c>
      <c r="AG4" s="4" t="s">
        <v>23</v>
      </c>
      <c r="AH4" s="4">
        <v>0</v>
      </c>
      <c r="AJ4" s="22"/>
      <c r="AK4" s="22"/>
      <c r="AL4" s="22"/>
      <c r="AM4" s="22"/>
      <c r="AN4" s="22"/>
      <c r="AO4" s="22"/>
      <c r="AP4" s="22"/>
      <c r="AQ4" s="22"/>
      <c r="AR4" s="22"/>
      <c r="AS4" s="22"/>
      <c r="AT4" s="22"/>
      <c r="AU4" s="22"/>
      <c r="AV4" s="22"/>
      <c r="AW4" s="22"/>
      <c r="AX4" s="22"/>
      <c r="AY4" s="22"/>
      <c r="AZ4" s="22"/>
      <c r="BA4" s="22"/>
      <c r="BB4" s="22"/>
    </row>
    <row r="5" spans="1:55" ht="14.25" customHeight="1" x14ac:dyDescent="0.2">
      <c r="A5" t="s">
        <v>24</v>
      </c>
      <c r="B5" s="4">
        <v>1</v>
      </c>
      <c r="C5" s="4" t="s">
        <v>20</v>
      </c>
      <c r="D5" t="s">
        <v>24</v>
      </c>
      <c r="F5" t="s">
        <v>335</v>
      </c>
      <c r="G5" t="s">
        <v>315</v>
      </c>
      <c r="H5" t="s">
        <v>618</v>
      </c>
      <c r="I5" s="4">
        <v>0</v>
      </c>
      <c r="J5" t="s">
        <v>25</v>
      </c>
      <c r="K5" s="2" t="s">
        <v>313</v>
      </c>
      <c r="L5" s="2" t="s">
        <v>314</v>
      </c>
      <c r="M5" t="s">
        <v>26</v>
      </c>
      <c r="O5" t="s">
        <v>35</v>
      </c>
      <c r="U5">
        <v>15</v>
      </c>
      <c r="V5">
        <f t="shared" si="0"/>
        <v>0</v>
      </c>
      <c r="W5">
        <v>0.15</v>
      </c>
      <c r="X5" s="4">
        <f t="shared" si="1"/>
        <v>1</v>
      </c>
      <c r="Y5">
        <v>0.1</v>
      </c>
      <c r="Z5" s="4">
        <f t="shared" si="2"/>
        <v>1</v>
      </c>
      <c r="AB5">
        <v>2007</v>
      </c>
      <c r="AC5" t="s">
        <v>27</v>
      </c>
      <c r="AD5" s="10" t="s">
        <v>28</v>
      </c>
      <c r="AE5" s="10"/>
      <c r="AF5" t="s">
        <v>312</v>
      </c>
      <c r="AG5" s="4" t="s">
        <v>29</v>
      </c>
    </row>
    <row r="6" spans="1:55" ht="14.25" customHeight="1" x14ac:dyDescent="0.2">
      <c r="A6" t="s">
        <v>24</v>
      </c>
      <c r="B6" s="4">
        <v>1</v>
      </c>
      <c r="C6" s="4" t="s">
        <v>20</v>
      </c>
      <c r="D6" t="s">
        <v>24</v>
      </c>
      <c r="F6" t="s">
        <v>335</v>
      </c>
      <c r="G6" t="s">
        <v>315</v>
      </c>
      <c r="H6" t="s">
        <v>618</v>
      </c>
      <c r="I6" s="4">
        <v>1</v>
      </c>
      <c r="J6" t="s">
        <v>25</v>
      </c>
      <c r="K6" s="2" t="s">
        <v>313</v>
      </c>
      <c r="L6" s="2" t="s">
        <v>314</v>
      </c>
      <c r="M6" t="s">
        <v>26</v>
      </c>
      <c r="O6" t="s">
        <v>310</v>
      </c>
      <c r="U6">
        <v>15</v>
      </c>
      <c r="V6">
        <f t="shared" si="0"/>
        <v>0</v>
      </c>
      <c r="W6">
        <v>0.15</v>
      </c>
      <c r="X6" s="4">
        <f t="shared" si="1"/>
        <v>1</v>
      </c>
      <c r="Y6">
        <v>0.1</v>
      </c>
      <c r="Z6" s="4">
        <f t="shared" si="2"/>
        <v>1</v>
      </c>
      <c r="AB6">
        <v>2020</v>
      </c>
      <c r="AC6" t="s">
        <v>27</v>
      </c>
      <c r="AD6" s="10" t="s">
        <v>28</v>
      </c>
      <c r="AE6" s="10"/>
      <c r="AF6" t="s">
        <v>312</v>
      </c>
      <c r="AG6" s="4" t="s">
        <v>29</v>
      </c>
    </row>
    <row r="7" spans="1:55" ht="14.25" customHeight="1" x14ac:dyDescent="0.2">
      <c r="A7" t="s">
        <v>24</v>
      </c>
      <c r="B7" s="4">
        <v>1</v>
      </c>
      <c r="C7" s="4" t="s">
        <v>20</v>
      </c>
      <c r="D7" t="s">
        <v>24</v>
      </c>
      <c r="F7" t="s">
        <v>335</v>
      </c>
      <c r="G7" t="s">
        <v>315</v>
      </c>
      <c r="H7" t="s">
        <v>618</v>
      </c>
      <c r="I7" s="4">
        <v>2</v>
      </c>
      <c r="J7" t="s">
        <v>25</v>
      </c>
      <c r="K7" s="2" t="s">
        <v>313</v>
      </c>
      <c r="L7" s="2" t="s">
        <v>314</v>
      </c>
      <c r="M7" t="s">
        <v>26</v>
      </c>
      <c r="O7" t="s">
        <v>310</v>
      </c>
      <c r="U7">
        <v>15</v>
      </c>
      <c r="V7">
        <f t="shared" si="0"/>
        <v>0</v>
      </c>
      <c r="W7">
        <v>0.15</v>
      </c>
      <c r="X7" s="4">
        <f t="shared" si="1"/>
        <v>1</v>
      </c>
      <c r="Y7">
        <v>0.1</v>
      </c>
      <c r="Z7" s="4">
        <f t="shared" si="2"/>
        <v>1</v>
      </c>
      <c r="AB7">
        <v>2023</v>
      </c>
      <c r="AC7" t="s">
        <v>27</v>
      </c>
      <c r="AD7" s="10" t="s">
        <v>311</v>
      </c>
      <c r="AE7" s="10"/>
      <c r="AF7" t="s">
        <v>312</v>
      </c>
      <c r="AG7" s="4" t="s">
        <v>29</v>
      </c>
    </row>
    <row r="8" spans="1:55" s="4" customFormat="1" x14ac:dyDescent="0.2">
      <c r="A8" s="4" t="s">
        <v>30</v>
      </c>
      <c r="B8" s="4">
        <v>1</v>
      </c>
      <c r="C8" s="4" t="s">
        <v>20</v>
      </c>
      <c r="D8" s="4" t="s">
        <v>30</v>
      </c>
      <c r="K8" s="2" t="s">
        <v>21</v>
      </c>
      <c r="L8" s="2"/>
      <c r="V8" t="str">
        <f t="shared" si="0"/>
        <v>geen data</v>
      </c>
      <c r="X8" s="4" t="str">
        <f t="shared" si="1"/>
        <v>geen data</v>
      </c>
      <c r="Z8" s="4" t="str">
        <f t="shared" si="2"/>
        <v>geen data</v>
      </c>
      <c r="AF8" s="11" t="s">
        <v>31</v>
      </c>
      <c r="AG8" s="4" t="s">
        <v>18</v>
      </c>
      <c r="AJ8" s="22"/>
      <c r="AK8" s="22"/>
      <c r="AL8" s="22"/>
      <c r="AM8" s="22"/>
      <c r="AN8" s="22"/>
      <c r="AO8" s="22"/>
      <c r="AP8" s="22"/>
      <c r="AQ8" s="22"/>
      <c r="AR8" s="22"/>
      <c r="AS8" s="22"/>
      <c r="AT8" s="22"/>
      <c r="AU8" s="22"/>
      <c r="AV8" s="22"/>
      <c r="AW8" s="22"/>
      <c r="AX8" s="22"/>
      <c r="AY8" s="22"/>
      <c r="AZ8" s="22"/>
      <c r="BA8" s="22"/>
      <c r="BB8" s="22"/>
    </row>
    <row r="9" spans="1:55" s="4" customFormat="1" x14ac:dyDescent="0.2">
      <c r="A9" s="4" t="s">
        <v>32</v>
      </c>
      <c r="B9" s="4">
        <v>1</v>
      </c>
      <c r="C9" s="4" t="s">
        <v>20</v>
      </c>
      <c r="D9" s="4" t="s">
        <v>32</v>
      </c>
      <c r="K9" s="2" t="s">
        <v>21</v>
      </c>
      <c r="L9" s="2"/>
      <c r="V9" t="str">
        <f t="shared" si="0"/>
        <v>geen data</v>
      </c>
      <c r="X9" s="4" t="str">
        <f t="shared" si="1"/>
        <v>geen data</v>
      </c>
      <c r="Z9" s="4" t="str">
        <f t="shared" si="2"/>
        <v>geen data</v>
      </c>
      <c r="AF9" s="11" t="s">
        <v>33</v>
      </c>
      <c r="AG9" s="4" t="s">
        <v>18</v>
      </c>
      <c r="AJ9" s="22"/>
      <c r="AK9" s="22"/>
      <c r="AL9" s="22"/>
      <c r="AM9" s="22"/>
      <c r="AN9" s="22"/>
      <c r="AO9" s="22"/>
      <c r="AP9" s="22"/>
      <c r="AQ9" s="22"/>
      <c r="AR9" s="22"/>
      <c r="AS9" s="22"/>
      <c r="AT9" s="22"/>
      <c r="AU9" s="22"/>
      <c r="AV9" s="22"/>
      <c r="AW9" s="22"/>
      <c r="AX9" s="22"/>
      <c r="AY9" s="22"/>
      <c r="AZ9" s="22"/>
      <c r="BA9" s="22"/>
      <c r="BB9" s="22"/>
    </row>
    <row r="10" spans="1:55" x14ac:dyDescent="0.2">
      <c r="A10" t="s">
        <v>34</v>
      </c>
      <c r="B10" s="4">
        <v>1</v>
      </c>
      <c r="C10" s="4" t="s">
        <v>20</v>
      </c>
      <c r="D10" t="s">
        <v>34</v>
      </c>
      <c r="F10" s="21" t="s">
        <v>336</v>
      </c>
      <c r="H10" t="s">
        <v>619</v>
      </c>
      <c r="I10" s="4">
        <v>2</v>
      </c>
      <c r="J10" t="s">
        <v>25</v>
      </c>
      <c r="K10" s="2" t="s">
        <v>21</v>
      </c>
      <c r="L10" s="2"/>
      <c r="M10" t="s">
        <v>338</v>
      </c>
      <c r="N10" t="s">
        <v>339</v>
      </c>
      <c r="O10" t="s">
        <v>35</v>
      </c>
      <c r="P10">
        <v>1</v>
      </c>
      <c r="Q10">
        <v>1</v>
      </c>
      <c r="R10" t="s">
        <v>347</v>
      </c>
      <c r="S10" t="s">
        <v>348</v>
      </c>
      <c r="V10" t="str">
        <f t="shared" si="0"/>
        <v>geen data</v>
      </c>
      <c r="W10">
        <v>0.15</v>
      </c>
      <c r="X10" s="4">
        <f t="shared" si="1"/>
        <v>1</v>
      </c>
      <c r="Y10">
        <v>0.04</v>
      </c>
      <c r="Z10" s="4">
        <f t="shared" si="2"/>
        <v>1</v>
      </c>
      <c r="AB10">
        <v>2017</v>
      </c>
      <c r="AC10" t="s">
        <v>27</v>
      </c>
      <c r="AD10" t="s">
        <v>337</v>
      </c>
      <c r="AF10" s="10" t="s">
        <v>36</v>
      </c>
      <c r="AG10" s="4" t="s">
        <v>37</v>
      </c>
    </row>
    <row r="11" spans="1:55" x14ac:dyDescent="0.2">
      <c r="A11" t="s">
        <v>38</v>
      </c>
      <c r="B11" s="4">
        <v>1</v>
      </c>
      <c r="C11" s="4" t="s">
        <v>20</v>
      </c>
      <c r="D11" t="s">
        <v>38</v>
      </c>
      <c r="F11" t="s">
        <v>60</v>
      </c>
      <c r="G11" t="s">
        <v>315</v>
      </c>
      <c r="H11" t="s">
        <v>619</v>
      </c>
      <c r="I11" s="4">
        <v>1</v>
      </c>
      <c r="J11" t="s">
        <v>25</v>
      </c>
      <c r="K11" t="s">
        <v>341</v>
      </c>
      <c r="L11" t="s">
        <v>342</v>
      </c>
      <c r="M11" t="s">
        <v>350</v>
      </c>
      <c r="N11" t="s">
        <v>339</v>
      </c>
      <c r="O11" t="s">
        <v>35</v>
      </c>
      <c r="P11">
        <v>1</v>
      </c>
      <c r="Q11">
        <v>1</v>
      </c>
      <c r="R11">
        <v>1</v>
      </c>
      <c r="S11">
        <v>1</v>
      </c>
      <c r="T11">
        <v>1</v>
      </c>
      <c r="U11">
        <v>4</v>
      </c>
      <c r="V11">
        <f t="shared" si="0"/>
        <v>0</v>
      </c>
      <c r="W11">
        <v>0.15</v>
      </c>
      <c r="X11" s="4">
        <f t="shared" si="1"/>
        <v>1</v>
      </c>
      <c r="Y11">
        <v>0.1</v>
      </c>
      <c r="Z11" s="4">
        <f t="shared" si="2"/>
        <v>1</v>
      </c>
      <c r="AA11">
        <v>2006</v>
      </c>
      <c r="AB11">
        <v>2010</v>
      </c>
      <c r="AD11" s="6" t="s">
        <v>353</v>
      </c>
      <c r="AE11" s="6"/>
      <c r="AF11" s="10" t="s">
        <v>340</v>
      </c>
      <c r="AG11" s="4" t="s">
        <v>37</v>
      </c>
    </row>
    <row r="12" spans="1:55" x14ac:dyDescent="0.2">
      <c r="A12" t="s">
        <v>38</v>
      </c>
      <c r="B12" s="4">
        <v>1</v>
      </c>
      <c r="C12" s="4" t="s">
        <v>20</v>
      </c>
      <c r="D12" t="s">
        <v>38</v>
      </c>
      <c r="F12" t="s">
        <v>60</v>
      </c>
      <c r="G12" t="s">
        <v>315</v>
      </c>
      <c r="H12" t="s">
        <v>619</v>
      </c>
      <c r="I12" s="4">
        <v>2</v>
      </c>
      <c r="J12" t="s">
        <v>25</v>
      </c>
      <c r="K12" t="s">
        <v>341</v>
      </c>
      <c r="L12" t="s">
        <v>342</v>
      </c>
      <c r="M12" t="s">
        <v>350</v>
      </c>
      <c r="N12" t="s">
        <v>339</v>
      </c>
      <c r="O12" t="s">
        <v>35</v>
      </c>
      <c r="P12">
        <v>1</v>
      </c>
      <c r="Q12">
        <v>1</v>
      </c>
      <c r="R12">
        <v>1</v>
      </c>
      <c r="S12">
        <v>1</v>
      </c>
      <c r="T12">
        <v>8</v>
      </c>
      <c r="V12">
        <f t="shared" si="0"/>
        <v>1</v>
      </c>
      <c r="W12">
        <v>0.15</v>
      </c>
      <c r="X12" s="4">
        <f t="shared" si="1"/>
        <v>1</v>
      </c>
      <c r="Y12">
        <v>0.1</v>
      </c>
      <c r="Z12" s="4">
        <f t="shared" si="2"/>
        <v>1</v>
      </c>
      <c r="AA12">
        <v>2017</v>
      </c>
      <c r="AB12">
        <v>2023</v>
      </c>
      <c r="AD12" s="10" t="s">
        <v>349</v>
      </c>
      <c r="AE12" s="10"/>
      <c r="AF12" s="10" t="s">
        <v>340</v>
      </c>
      <c r="AG12" s="4" t="s">
        <v>37</v>
      </c>
    </row>
    <row r="13" spans="1:55" x14ac:dyDescent="0.2">
      <c r="A13" t="s">
        <v>40</v>
      </c>
      <c r="B13" s="4">
        <v>1</v>
      </c>
      <c r="C13" s="4" t="s">
        <v>20</v>
      </c>
      <c r="D13" t="s">
        <v>40</v>
      </c>
      <c r="G13" t="s">
        <v>315</v>
      </c>
      <c r="H13" t="s">
        <v>619</v>
      </c>
      <c r="I13">
        <v>1</v>
      </c>
      <c r="J13" t="s">
        <v>25</v>
      </c>
      <c r="K13" s="2" t="s">
        <v>354</v>
      </c>
      <c r="L13" s="2"/>
      <c r="M13" t="s">
        <v>39</v>
      </c>
      <c r="N13" t="s">
        <v>318</v>
      </c>
      <c r="O13" t="s">
        <v>35</v>
      </c>
      <c r="V13" t="str">
        <f t="shared" si="0"/>
        <v>geen data</v>
      </c>
      <c r="W13">
        <v>0.2</v>
      </c>
      <c r="X13" s="4">
        <f t="shared" si="1"/>
        <v>1</v>
      </c>
      <c r="Y13">
        <v>7.4999999999999997E-2</v>
      </c>
      <c r="Z13" s="4">
        <f t="shared" si="2"/>
        <v>1</v>
      </c>
      <c r="AA13">
        <v>2006</v>
      </c>
      <c r="AB13">
        <v>2015</v>
      </c>
      <c r="AD13" s="10" t="s">
        <v>356</v>
      </c>
      <c r="AE13" s="10"/>
      <c r="AF13" s="10" t="s">
        <v>41</v>
      </c>
      <c r="AG13" s="4" t="s">
        <v>37</v>
      </c>
    </row>
    <row r="14" spans="1:55" x14ac:dyDescent="0.2">
      <c r="A14" t="s">
        <v>40</v>
      </c>
      <c r="B14" s="4">
        <v>1</v>
      </c>
      <c r="C14" s="4" t="s">
        <v>20</v>
      </c>
      <c r="D14" t="s">
        <v>40</v>
      </c>
      <c r="G14" t="s">
        <v>315</v>
      </c>
      <c r="H14" t="s">
        <v>619</v>
      </c>
      <c r="I14">
        <v>2</v>
      </c>
      <c r="J14" t="s">
        <v>25</v>
      </c>
      <c r="K14" s="2" t="s">
        <v>355</v>
      </c>
      <c r="L14" s="2"/>
      <c r="M14" t="s">
        <v>39</v>
      </c>
      <c r="N14" t="s">
        <v>318</v>
      </c>
      <c r="O14" t="s">
        <v>35</v>
      </c>
      <c r="V14" t="str">
        <f t="shared" si="0"/>
        <v>geen data</v>
      </c>
      <c r="W14">
        <v>0.2</v>
      </c>
      <c r="X14" s="4">
        <f t="shared" si="1"/>
        <v>1</v>
      </c>
      <c r="Y14">
        <v>7.4999999999999997E-2</v>
      </c>
      <c r="Z14" s="4">
        <f t="shared" si="2"/>
        <v>1</v>
      </c>
      <c r="AA14">
        <v>2022</v>
      </c>
      <c r="AB14">
        <v>2023</v>
      </c>
      <c r="AD14" t="s">
        <v>356</v>
      </c>
      <c r="AF14" s="10" t="s">
        <v>41</v>
      </c>
      <c r="AG14" s="4" t="s">
        <v>37</v>
      </c>
    </row>
    <row r="15" spans="1:55" x14ac:dyDescent="0.2">
      <c r="A15" t="s">
        <v>42</v>
      </c>
      <c r="B15" s="4">
        <v>1</v>
      </c>
      <c r="C15" s="4" t="s">
        <v>20</v>
      </c>
      <c r="D15" t="s">
        <v>42</v>
      </c>
      <c r="E15" t="s">
        <v>359</v>
      </c>
      <c r="G15" t="s">
        <v>315</v>
      </c>
      <c r="H15" t="s">
        <v>619</v>
      </c>
      <c r="I15" s="4">
        <v>1</v>
      </c>
      <c r="J15" t="s">
        <v>25</v>
      </c>
      <c r="K15" s="2" t="s">
        <v>21</v>
      </c>
      <c r="L15" s="2"/>
      <c r="M15" t="s">
        <v>39</v>
      </c>
      <c r="N15" t="s">
        <v>318</v>
      </c>
      <c r="O15" t="s">
        <v>35</v>
      </c>
      <c r="P15">
        <v>1</v>
      </c>
      <c r="Q15">
        <v>1</v>
      </c>
      <c r="R15">
        <v>1</v>
      </c>
      <c r="S15">
        <v>1</v>
      </c>
      <c r="T15">
        <v>4</v>
      </c>
      <c r="U15">
        <v>16</v>
      </c>
      <c r="V15">
        <f t="shared" si="0"/>
        <v>0</v>
      </c>
      <c r="X15" s="4" t="str">
        <f t="shared" si="1"/>
        <v>geen data</v>
      </c>
      <c r="Z15" s="4" t="str">
        <f t="shared" si="2"/>
        <v>geen data</v>
      </c>
      <c r="AA15">
        <v>2016</v>
      </c>
      <c r="AB15">
        <v>2021</v>
      </c>
      <c r="AD15" t="s">
        <v>357</v>
      </c>
      <c r="AF15" s="10" t="s">
        <v>358</v>
      </c>
      <c r="AG15" t="s">
        <v>37</v>
      </c>
    </row>
    <row r="16" spans="1:55" s="4" customFormat="1" x14ac:dyDescent="0.2">
      <c r="A16" s="4" t="s">
        <v>43</v>
      </c>
      <c r="B16" s="4">
        <v>1</v>
      </c>
      <c r="C16" s="4" t="s">
        <v>20</v>
      </c>
      <c r="D16" s="4" t="s">
        <v>43</v>
      </c>
      <c r="K16" s="2" t="s">
        <v>21</v>
      </c>
      <c r="L16" s="2"/>
      <c r="V16" t="str">
        <f t="shared" si="0"/>
        <v>geen data</v>
      </c>
      <c r="X16" s="4" t="str">
        <f t="shared" si="1"/>
        <v>geen data</v>
      </c>
      <c r="Z16" s="4" t="str">
        <f t="shared" si="2"/>
        <v>geen data</v>
      </c>
      <c r="AF16" s="11"/>
      <c r="AG16" s="4" t="s">
        <v>18</v>
      </c>
      <c r="AJ16" s="22"/>
      <c r="AK16" s="22"/>
      <c r="AL16" s="22"/>
      <c r="AM16" s="22"/>
      <c r="AN16" s="22"/>
      <c r="AO16" s="22"/>
      <c r="AP16" s="22"/>
      <c r="AQ16" s="22"/>
      <c r="AR16" s="22"/>
      <c r="AS16" s="22"/>
      <c r="AT16" s="22"/>
      <c r="AU16" s="22"/>
      <c r="AV16" s="22"/>
      <c r="AW16" s="22"/>
      <c r="AX16" s="22"/>
      <c r="AY16" s="22"/>
      <c r="AZ16" s="22"/>
      <c r="BA16" s="22"/>
      <c r="BB16" s="22"/>
    </row>
    <row r="17" spans="1:54" x14ac:dyDescent="0.2">
      <c r="A17" t="s">
        <v>44</v>
      </c>
      <c r="B17" s="4">
        <v>1</v>
      </c>
      <c r="C17" s="4" t="s">
        <v>20</v>
      </c>
      <c r="D17" t="s">
        <v>44</v>
      </c>
      <c r="H17" t="s">
        <v>619</v>
      </c>
      <c r="I17" s="4">
        <v>1</v>
      </c>
      <c r="J17" t="s">
        <v>25</v>
      </c>
      <c r="K17" s="2" t="s">
        <v>21</v>
      </c>
      <c r="L17" s="2"/>
      <c r="M17" t="s">
        <v>39</v>
      </c>
      <c r="O17" t="s">
        <v>35</v>
      </c>
      <c r="V17" t="str">
        <f t="shared" si="0"/>
        <v>geen data</v>
      </c>
      <c r="W17">
        <v>0.15</v>
      </c>
      <c r="X17" s="4">
        <f t="shared" si="1"/>
        <v>1</v>
      </c>
      <c r="Y17">
        <v>7.4999999999999997E-2</v>
      </c>
      <c r="Z17" s="4">
        <f t="shared" si="2"/>
        <v>1</v>
      </c>
      <c r="AB17">
        <v>2019</v>
      </c>
      <c r="AF17" s="10" t="s">
        <v>45</v>
      </c>
      <c r="AG17" t="s">
        <v>37</v>
      </c>
    </row>
    <row r="18" spans="1:54" s="4" customFormat="1" x14ac:dyDescent="0.2">
      <c r="A18" s="4" t="s">
        <v>46</v>
      </c>
      <c r="B18" s="4">
        <v>0</v>
      </c>
      <c r="C18" s="4" t="s">
        <v>46</v>
      </c>
      <c r="D18" s="4" t="s">
        <v>46</v>
      </c>
      <c r="V18" t="str">
        <f t="shared" si="0"/>
        <v>geen data</v>
      </c>
      <c r="X18" s="4" t="str">
        <f t="shared" si="1"/>
        <v>geen data</v>
      </c>
      <c r="Z18" s="4" t="str">
        <f t="shared" si="2"/>
        <v>geen data</v>
      </c>
      <c r="AG18" s="4" t="s">
        <v>18</v>
      </c>
      <c r="AJ18" s="22"/>
      <c r="AK18" s="22"/>
      <c r="AL18" s="22"/>
      <c r="AM18" s="22"/>
      <c r="AN18" s="22"/>
      <c r="AO18" s="22"/>
      <c r="AP18" s="22"/>
      <c r="AQ18" s="22"/>
      <c r="AR18" s="22"/>
      <c r="AS18" s="22"/>
      <c r="AT18" s="22"/>
      <c r="AU18" s="22"/>
      <c r="AV18" s="22"/>
      <c r="AW18" s="22"/>
      <c r="AX18" s="22"/>
      <c r="AY18" s="22"/>
      <c r="AZ18" s="22"/>
      <c r="BA18" s="22"/>
      <c r="BB18" s="22"/>
    </row>
    <row r="19" spans="1:54" x14ac:dyDescent="0.2">
      <c r="A19" t="s">
        <v>47</v>
      </c>
      <c r="B19" s="4">
        <v>0</v>
      </c>
      <c r="C19" t="s">
        <v>47</v>
      </c>
      <c r="D19" t="s">
        <v>47</v>
      </c>
      <c r="I19">
        <v>0</v>
      </c>
      <c r="K19" s="2"/>
      <c r="L19" s="2"/>
      <c r="M19" t="s">
        <v>22</v>
      </c>
      <c r="V19" t="str">
        <f t="shared" si="0"/>
        <v>geen data</v>
      </c>
      <c r="AG19" t="s">
        <v>48</v>
      </c>
    </row>
    <row r="20" spans="1:54" ht="14.25" customHeight="1" x14ac:dyDescent="0.2">
      <c r="A20" s="4" t="s">
        <v>49</v>
      </c>
      <c r="B20" s="4">
        <v>1</v>
      </c>
      <c r="C20" t="s">
        <v>47</v>
      </c>
      <c r="D20" s="4" t="s">
        <v>49</v>
      </c>
      <c r="E20" t="s">
        <v>362</v>
      </c>
      <c r="G20" t="s">
        <v>324</v>
      </c>
      <c r="H20" t="s">
        <v>619</v>
      </c>
      <c r="I20" s="4">
        <v>1</v>
      </c>
      <c r="J20" t="s">
        <v>25</v>
      </c>
      <c r="K20" s="2" t="s">
        <v>50</v>
      </c>
      <c r="L20" s="2"/>
      <c r="M20" t="s">
        <v>26</v>
      </c>
      <c r="O20" t="s">
        <v>35</v>
      </c>
      <c r="U20">
        <v>67</v>
      </c>
      <c r="V20">
        <f t="shared" si="0"/>
        <v>1</v>
      </c>
      <c r="AB20">
        <v>2021</v>
      </c>
      <c r="AD20" t="s">
        <v>51</v>
      </c>
      <c r="AF20" s="6" t="s">
        <v>51</v>
      </c>
      <c r="AG20" s="13" t="s">
        <v>52</v>
      </c>
      <c r="AH20">
        <v>0</v>
      </c>
    </row>
    <row r="21" spans="1:54" x14ac:dyDescent="0.2">
      <c r="A21" t="s">
        <v>53</v>
      </c>
      <c r="B21" s="4">
        <v>1</v>
      </c>
      <c r="C21" t="s">
        <v>47</v>
      </c>
      <c r="D21" t="s">
        <v>53</v>
      </c>
      <c r="F21" t="s">
        <v>698</v>
      </c>
      <c r="G21" s="6" t="s">
        <v>323</v>
      </c>
      <c r="H21" t="s">
        <v>619</v>
      </c>
      <c r="I21">
        <v>1</v>
      </c>
      <c r="J21" t="s">
        <v>25</v>
      </c>
      <c r="K21" s="2" t="s">
        <v>50</v>
      </c>
      <c r="L21" s="2"/>
      <c r="M21" t="s">
        <v>338</v>
      </c>
      <c r="N21" t="s">
        <v>318</v>
      </c>
      <c r="O21" t="s">
        <v>35</v>
      </c>
      <c r="P21">
        <v>1</v>
      </c>
      <c r="Q21">
        <v>1</v>
      </c>
      <c r="S21">
        <v>5</v>
      </c>
      <c r="T21">
        <v>0.25</v>
      </c>
      <c r="V21">
        <f t="shared" si="0"/>
        <v>0</v>
      </c>
      <c r="W21">
        <v>0.1</v>
      </c>
      <c r="X21" s="4">
        <f t="shared" ref="X21:X34" si="3">IF(ISBLANK(W21), "geen data", IF(W21&lt;=AVERAGE($W$2:$W$125), 1, 0))</f>
        <v>1</v>
      </c>
      <c r="Y21">
        <v>0.05</v>
      </c>
      <c r="Z21" s="4">
        <f t="shared" ref="Z21:Z34" si="4">IF(ISBLANK(Y21), "geen data", IF(Y21&lt;=AVERAGE($Y$2:$Y$125), 1, 0))</f>
        <v>1</v>
      </c>
      <c r="AA21">
        <v>2001</v>
      </c>
      <c r="AB21">
        <v>2004</v>
      </c>
      <c r="AD21" s="6" t="s">
        <v>365</v>
      </c>
      <c r="AE21" s="6"/>
      <c r="AF21" t="s">
        <v>367</v>
      </c>
      <c r="AG21" s="2" t="s">
        <v>54</v>
      </c>
      <c r="AH21" s="2">
        <v>1</v>
      </c>
      <c r="AI21" s="2"/>
      <c r="AJ21" t="s">
        <v>366</v>
      </c>
      <c r="AK21" t="s">
        <v>275</v>
      </c>
      <c r="AO21" s="27"/>
      <c r="AR21" t="s">
        <v>270</v>
      </c>
    </row>
    <row r="22" spans="1:54" x14ac:dyDescent="0.2">
      <c r="A22" t="s">
        <v>53</v>
      </c>
      <c r="B22" s="4">
        <v>1</v>
      </c>
      <c r="C22" t="s">
        <v>47</v>
      </c>
      <c r="D22" t="s">
        <v>53</v>
      </c>
      <c r="F22" t="s">
        <v>699</v>
      </c>
      <c r="G22" s="6" t="s">
        <v>323</v>
      </c>
      <c r="H22" t="s">
        <v>619</v>
      </c>
      <c r="I22">
        <v>0</v>
      </c>
      <c r="J22" t="s">
        <v>25</v>
      </c>
      <c r="K22" s="2" t="s">
        <v>50</v>
      </c>
      <c r="L22" s="2"/>
      <c r="M22" t="s">
        <v>338</v>
      </c>
      <c r="N22" t="s">
        <v>318</v>
      </c>
      <c r="O22" t="s">
        <v>35</v>
      </c>
      <c r="P22">
        <v>1</v>
      </c>
      <c r="Q22">
        <v>1</v>
      </c>
      <c r="S22">
        <v>5</v>
      </c>
      <c r="T22">
        <v>16</v>
      </c>
      <c r="V22">
        <f t="shared" si="0"/>
        <v>1</v>
      </c>
      <c r="W22">
        <v>0.1</v>
      </c>
      <c r="X22" s="4">
        <f t="shared" si="3"/>
        <v>1</v>
      </c>
      <c r="Y22">
        <v>0.05</v>
      </c>
      <c r="Z22" s="4">
        <f t="shared" si="4"/>
        <v>1</v>
      </c>
      <c r="AA22">
        <v>2013</v>
      </c>
      <c r="AB22">
        <v>2015</v>
      </c>
      <c r="AD22" t="s">
        <v>368</v>
      </c>
      <c r="AE22" t="s">
        <v>766</v>
      </c>
      <c r="AF22" t="s">
        <v>367</v>
      </c>
      <c r="AG22" s="2" t="s">
        <v>54</v>
      </c>
      <c r="AH22" s="2">
        <v>1</v>
      </c>
      <c r="AI22" s="2"/>
      <c r="AJ22" t="s">
        <v>269</v>
      </c>
      <c r="AK22" t="s">
        <v>275</v>
      </c>
      <c r="AR22" t="s">
        <v>270</v>
      </c>
    </row>
    <row r="23" spans="1:54" x14ac:dyDescent="0.2">
      <c r="A23" t="s">
        <v>55</v>
      </c>
      <c r="B23" s="4">
        <v>1</v>
      </c>
      <c r="C23" t="s">
        <v>47</v>
      </c>
      <c r="D23" t="s">
        <v>55</v>
      </c>
      <c r="F23" t="s">
        <v>577</v>
      </c>
      <c r="G23" t="s">
        <v>324</v>
      </c>
      <c r="H23" t="s">
        <v>619</v>
      </c>
      <c r="I23">
        <v>1</v>
      </c>
      <c r="J23" t="s">
        <v>25</v>
      </c>
      <c r="K23" s="2" t="s">
        <v>50</v>
      </c>
      <c r="L23" s="2"/>
      <c r="M23" t="s">
        <v>26</v>
      </c>
      <c r="O23" t="s">
        <v>35</v>
      </c>
      <c r="T23">
        <v>6.8</v>
      </c>
      <c r="V23">
        <f t="shared" si="0"/>
        <v>0</v>
      </c>
      <c r="W23">
        <v>1</v>
      </c>
      <c r="X23" s="4">
        <f t="shared" si="3"/>
        <v>0</v>
      </c>
      <c r="Y23">
        <v>0.4</v>
      </c>
      <c r="Z23" s="4">
        <f t="shared" si="4"/>
        <v>0</v>
      </c>
      <c r="AB23">
        <v>2022</v>
      </c>
      <c r="AD23" t="s">
        <v>325</v>
      </c>
      <c r="AE23" t="s">
        <v>767</v>
      </c>
      <c r="AF23" s="6" t="s">
        <v>326</v>
      </c>
      <c r="AG23" s="2" t="s">
        <v>56</v>
      </c>
      <c r="AH23" s="2"/>
      <c r="AI23" s="2"/>
      <c r="AJ23" t="s">
        <v>327</v>
      </c>
      <c r="AK23" t="s">
        <v>328</v>
      </c>
      <c r="AL23" t="s">
        <v>272</v>
      </c>
      <c r="AM23" t="s">
        <v>329</v>
      </c>
      <c r="AO23" s="27"/>
      <c r="AR23" t="s">
        <v>330</v>
      </c>
      <c r="AS23" t="s">
        <v>331</v>
      </c>
      <c r="AW23" t="s">
        <v>332</v>
      </c>
      <c r="AY23" t="s">
        <v>273</v>
      </c>
    </row>
    <row r="24" spans="1:54" s="4" customFormat="1" x14ac:dyDescent="0.2">
      <c r="A24" s="4" t="s">
        <v>57</v>
      </c>
      <c r="B24" s="4">
        <v>0</v>
      </c>
      <c r="C24" s="4" t="s">
        <v>57</v>
      </c>
      <c r="D24" s="4" t="s">
        <v>57</v>
      </c>
      <c r="V24" t="str">
        <f t="shared" si="0"/>
        <v>geen data</v>
      </c>
      <c r="X24" s="4" t="str">
        <f t="shared" si="3"/>
        <v>geen data</v>
      </c>
      <c r="Z24" s="4" t="str">
        <f t="shared" si="4"/>
        <v>geen data</v>
      </c>
      <c r="AG24" s="4" t="s">
        <v>18</v>
      </c>
      <c r="AJ24" s="22"/>
      <c r="AK24" s="22"/>
      <c r="AL24" s="22"/>
      <c r="AM24" s="22"/>
      <c r="AN24" s="22"/>
      <c r="AO24" s="22"/>
      <c r="AP24" s="22"/>
      <c r="AQ24" s="22"/>
      <c r="AR24" s="22"/>
      <c r="AS24" s="22"/>
      <c r="AT24" s="22"/>
      <c r="AU24" s="22"/>
      <c r="AV24" s="22"/>
      <c r="AW24" s="22"/>
      <c r="AX24" s="22"/>
      <c r="AY24" s="22"/>
      <c r="AZ24" s="22"/>
      <c r="BA24" s="22"/>
      <c r="BB24" s="22"/>
    </row>
    <row r="25" spans="1:54" s="4" customFormat="1" x14ac:dyDescent="0.2">
      <c r="A25" s="4" t="s">
        <v>58</v>
      </c>
      <c r="B25" s="4">
        <v>0</v>
      </c>
      <c r="C25" s="4" t="s">
        <v>58</v>
      </c>
      <c r="D25" s="4" t="s">
        <v>58</v>
      </c>
      <c r="V25" t="str">
        <f t="shared" si="0"/>
        <v>geen data</v>
      </c>
      <c r="X25" s="4" t="str">
        <f t="shared" si="3"/>
        <v>geen data</v>
      </c>
      <c r="Z25" s="4" t="str">
        <f t="shared" si="4"/>
        <v>geen data</v>
      </c>
      <c r="AG25" s="4" t="s">
        <v>18</v>
      </c>
      <c r="AJ25" s="22"/>
      <c r="AK25" s="22"/>
      <c r="AL25" s="22"/>
      <c r="AM25" s="22"/>
      <c r="AN25" s="22"/>
      <c r="AO25" s="22"/>
      <c r="AP25" s="22"/>
      <c r="AQ25" s="22"/>
      <c r="AR25" s="22"/>
      <c r="AS25" s="22"/>
      <c r="AT25" s="22"/>
      <c r="AU25" s="22"/>
      <c r="AV25" s="22"/>
      <c r="AW25" s="22"/>
      <c r="AX25" s="22"/>
      <c r="AY25" s="22"/>
      <c r="AZ25" s="22"/>
      <c r="BA25" s="22"/>
      <c r="BB25" s="22"/>
    </row>
    <row r="26" spans="1:54" x14ac:dyDescent="0.2">
      <c r="A26" t="s">
        <v>59</v>
      </c>
      <c r="B26" s="4">
        <v>0</v>
      </c>
      <c r="C26" t="s">
        <v>59</v>
      </c>
      <c r="D26" t="s">
        <v>59</v>
      </c>
      <c r="E26" t="s">
        <v>579</v>
      </c>
      <c r="F26" t="s">
        <v>578</v>
      </c>
      <c r="H26" t="s">
        <v>8</v>
      </c>
      <c r="I26">
        <v>1</v>
      </c>
      <c r="J26" t="s">
        <v>3</v>
      </c>
      <c r="M26" t="s">
        <v>26</v>
      </c>
      <c r="O26" t="s">
        <v>35</v>
      </c>
      <c r="T26">
        <v>10</v>
      </c>
      <c r="V26">
        <f t="shared" si="0"/>
        <v>1</v>
      </c>
      <c r="W26">
        <v>0.2</v>
      </c>
      <c r="X26" s="4">
        <f t="shared" si="3"/>
        <v>1</v>
      </c>
      <c r="Y26">
        <v>0.1</v>
      </c>
      <c r="Z26" s="4">
        <f t="shared" si="4"/>
        <v>1</v>
      </c>
      <c r="AB26" t="s">
        <v>60</v>
      </c>
      <c r="AG26" s="2" t="s">
        <v>62</v>
      </c>
    </row>
    <row r="27" spans="1:54" s="4" customFormat="1" ht="18" x14ac:dyDescent="0.2">
      <c r="A27" s="4" t="s">
        <v>63</v>
      </c>
      <c r="B27" s="4">
        <v>0</v>
      </c>
      <c r="C27" s="4" t="s">
        <v>63</v>
      </c>
      <c r="D27" s="4" t="s">
        <v>63</v>
      </c>
      <c r="E27" s="4" t="s">
        <v>768</v>
      </c>
      <c r="G27" s="31" t="s">
        <v>315</v>
      </c>
      <c r="J27" s="4" t="s">
        <v>25</v>
      </c>
      <c r="M27" s="4" t="s">
        <v>39</v>
      </c>
      <c r="N27" s="4" t="s">
        <v>318</v>
      </c>
      <c r="O27" s="4" t="s">
        <v>35</v>
      </c>
      <c r="Q27" s="4">
        <v>1</v>
      </c>
      <c r="V27" t="str">
        <f t="shared" si="0"/>
        <v>geen data</v>
      </c>
      <c r="X27" s="4" t="str">
        <f t="shared" si="3"/>
        <v>geen data</v>
      </c>
      <c r="Z27" s="4" t="str">
        <f t="shared" si="4"/>
        <v>geen data</v>
      </c>
      <c r="AB27" s="4">
        <v>2014</v>
      </c>
      <c r="AD27" s="4" t="s">
        <v>769</v>
      </c>
      <c r="AE27" s="4" t="s">
        <v>770</v>
      </c>
      <c r="AG27" s="4" t="s">
        <v>771</v>
      </c>
      <c r="AJ27" s="22"/>
      <c r="AK27" s="22"/>
      <c r="AL27" s="22"/>
      <c r="AM27" s="22"/>
      <c r="AN27" s="22"/>
      <c r="AO27" s="22"/>
      <c r="AP27" s="22"/>
      <c r="AQ27" s="22"/>
      <c r="AR27" s="22"/>
      <c r="AS27" s="22"/>
      <c r="AT27" s="22"/>
      <c r="AU27" s="22"/>
      <c r="AV27" s="22"/>
      <c r="AW27" s="22"/>
      <c r="AX27" s="22"/>
      <c r="AY27" s="22"/>
      <c r="AZ27" s="22"/>
      <c r="BA27" s="22"/>
      <c r="BB27" s="22"/>
    </row>
    <row r="28" spans="1:54" ht="21" customHeight="1" x14ac:dyDescent="0.2">
      <c r="A28" t="s">
        <v>64</v>
      </c>
      <c r="B28" s="4">
        <v>0</v>
      </c>
      <c r="C28" t="s">
        <v>64</v>
      </c>
      <c r="D28" t="s">
        <v>64</v>
      </c>
      <c r="F28" t="s">
        <v>580</v>
      </c>
      <c r="G28" t="s">
        <v>315</v>
      </c>
      <c r="H28" t="s">
        <v>8</v>
      </c>
      <c r="I28">
        <v>1</v>
      </c>
      <c r="J28" t="s">
        <v>25</v>
      </c>
      <c r="K28" t="s">
        <v>65</v>
      </c>
      <c r="M28" t="s">
        <v>39</v>
      </c>
      <c r="O28" t="s">
        <v>35</v>
      </c>
      <c r="V28" t="str">
        <f t="shared" si="0"/>
        <v>geen data</v>
      </c>
      <c r="X28" s="4" t="str">
        <f t="shared" si="3"/>
        <v>geen data</v>
      </c>
      <c r="Y28">
        <v>0.3</v>
      </c>
      <c r="Z28" s="4">
        <f t="shared" si="4"/>
        <v>0</v>
      </c>
      <c r="AB28">
        <v>2013</v>
      </c>
      <c r="AF28" t="s">
        <v>66</v>
      </c>
      <c r="AG28" s="13" t="s">
        <v>67</v>
      </c>
    </row>
    <row r="29" spans="1:54" ht="21" customHeight="1" x14ac:dyDescent="0.2">
      <c r="A29" t="s">
        <v>64</v>
      </c>
      <c r="B29" s="4">
        <v>0</v>
      </c>
      <c r="C29" t="s">
        <v>64</v>
      </c>
      <c r="D29" t="s">
        <v>64</v>
      </c>
      <c r="F29" t="s">
        <v>581</v>
      </c>
      <c r="G29" t="s">
        <v>315</v>
      </c>
      <c r="H29" t="s">
        <v>8</v>
      </c>
      <c r="I29">
        <v>2</v>
      </c>
      <c r="J29" t="s">
        <v>25</v>
      </c>
      <c r="K29" t="s">
        <v>65</v>
      </c>
      <c r="M29" t="s">
        <v>39</v>
      </c>
      <c r="O29" t="s">
        <v>35</v>
      </c>
      <c r="V29" t="str">
        <f t="shared" si="0"/>
        <v>geen data</v>
      </c>
      <c r="X29" s="4" t="str">
        <f t="shared" si="3"/>
        <v>geen data</v>
      </c>
      <c r="Y29">
        <v>0.3</v>
      </c>
      <c r="Z29" s="4">
        <f t="shared" si="4"/>
        <v>0</v>
      </c>
      <c r="AB29">
        <v>2013</v>
      </c>
      <c r="AF29" t="s">
        <v>66</v>
      </c>
      <c r="AG29" s="13" t="s">
        <v>67</v>
      </c>
    </row>
    <row r="30" spans="1:54" ht="19.5" customHeight="1" x14ac:dyDescent="0.2">
      <c r="A30" t="s">
        <v>68</v>
      </c>
      <c r="B30" s="4">
        <v>0</v>
      </c>
      <c r="C30" t="s">
        <v>68</v>
      </c>
      <c r="D30" t="s">
        <v>68</v>
      </c>
      <c r="F30" t="s">
        <v>582</v>
      </c>
      <c r="G30" t="s">
        <v>315</v>
      </c>
      <c r="H30" t="s">
        <v>8</v>
      </c>
      <c r="I30">
        <v>1</v>
      </c>
      <c r="J30" t="s">
        <v>3</v>
      </c>
      <c r="K30" t="s">
        <v>69</v>
      </c>
      <c r="L30" t="s">
        <v>70</v>
      </c>
      <c r="M30" t="s">
        <v>26</v>
      </c>
      <c r="O30" t="s">
        <v>35</v>
      </c>
      <c r="T30">
        <v>8</v>
      </c>
      <c r="V30">
        <f t="shared" si="0"/>
        <v>1</v>
      </c>
      <c r="W30">
        <v>0.15</v>
      </c>
      <c r="X30" s="4">
        <f t="shared" si="3"/>
        <v>1</v>
      </c>
      <c r="Y30">
        <v>0.06</v>
      </c>
      <c r="Z30" s="4">
        <f t="shared" si="4"/>
        <v>1</v>
      </c>
      <c r="AB30">
        <v>2022</v>
      </c>
      <c r="AF30" s="10" t="s">
        <v>71</v>
      </c>
      <c r="AG30" s="13" t="s">
        <v>72</v>
      </c>
      <c r="AH30" s="2"/>
      <c r="AI30" s="2"/>
      <c r="AJ30" s="27" t="s">
        <v>274</v>
      </c>
      <c r="AK30" s="27" t="s">
        <v>275</v>
      </c>
      <c r="AL30" s="27" t="s">
        <v>511</v>
      </c>
      <c r="AM30" s="27" t="s">
        <v>512</v>
      </c>
      <c r="AN30" t="s">
        <v>513</v>
      </c>
      <c r="AO30" s="27"/>
      <c r="AP30" t="s">
        <v>276</v>
      </c>
      <c r="AQ30" t="s">
        <v>274</v>
      </c>
      <c r="AR30" t="s">
        <v>270</v>
      </c>
      <c r="AW30" s="27"/>
      <c r="AX30" s="27"/>
      <c r="AY30" t="s">
        <v>277</v>
      </c>
      <c r="BB30" t="s">
        <v>514</v>
      </c>
    </row>
    <row r="31" spans="1:54" ht="24.75" customHeight="1" x14ac:dyDescent="0.2">
      <c r="A31" t="s">
        <v>73</v>
      </c>
      <c r="B31" s="4">
        <v>0</v>
      </c>
      <c r="C31" t="s">
        <v>73</v>
      </c>
      <c r="D31" t="s">
        <v>73</v>
      </c>
      <c r="F31" t="s">
        <v>583</v>
      </c>
      <c r="H31" t="s">
        <v>8</v>
      </c>
      <c r="I31">
        <v>1</v>
      </c>
      <c r="J31" t="s">
        <v>25</v>
      </c>
      <c r="K31" t="s">
        <v>74</v>
      </c>
      <c r="L31" t="s">
        <v>75</v>
      </c>
      <c r="M31" t="s">
        <v>26</v>
      </c>
      <c r="O31" t="s">
        <v>35</v>
      </c>
      <c r="T31">
        <v>2.1</v>
      </c>
      <c r="U31">
        <v>18</v>
      </c>
      <c r="V31">
        <f t="shared" si="0"/>
        <v>0</v>
      </c>
      <c r="W31">
        <v>0.08</v>
      </c>
      <c r="X31" s="4">
        <f t="shared" si="3"/>
        <v>1</v>
      </c>
      <c r="Y31">
        <v>0.08</v>
      </c>
      <c r="Z31" s="4">
        <f t="shared" si="4"/>
        <v>1</v>
      </c>
      <c r="AA31">
        <v>2008</v>
      </c>
      <c r="AB31">
        <v>2011</v>
      </c>
      <c r="AF31" s="7" t="s">
        <v>76</v>
      </c>
      <c r="AG31" s="13" t="s">
        <v>77</v>
      </c>
      <c r="AH31" s="2"/>
      <c r="AI31" s="2"/>
      <c r="AJ31" t="s">
        <v>278</v>
      </c>
      <c r="AK31" s="27" t="s">
        <v>515</v>
      </c>
      <c r="AL31" s="27"/>
      <c r="AN31" t="s">
        <v>516</v>
      </c>
      <c r="AP31" t="s">
        <v>279</v>
      </c>
      <c r="AQ31" t="s">
        <v>517</v>
      </c>
      <c r="AR31" t="s">
        <v>270</v>
      </c>
      <c r="AW31" s="27"/>
      <c r="AX31" s="27"/>
      <c r="AY31" t="s">
        <v>518</v>
      </c>
      <c r="BB31" t="s">
        <v>519</v>
      </c>
    </row>
    <row r="32" spans="1:54" ht="24.75" customHeight="1" x14ac:dyDescent="0.2">
      <c r="A32" t="s">
        <v>73</v>
      </c>
      <c r="B32" s="4">
        <v>0</v>
      </c>
      <c r="C32" t="s">
        <v>73</v>
      </c>
      <c r="D32" t="s">
        <v>73</v>
      </c>
      <c r="F32" t="s">
        <v>584</v>
      </c>
      <c r="H32" t="s">
        <v>8</v>
      </c>
      <c r="I32">
        <v>2</v>
      </c>
      <c r="J32" t="s">
        <v>25</v>
      </c>
      <c r="K32" t="s">
        <v>74</v>
      </c>
      <c r="L32" t="s">
        <v>75</v>
      </c>
      <c r="M32" t="s">
        <v>26</v>
      </c>
      <c r="O32" t="s">
        <v>35</v>
      </c>
      <c r="T32">
        <v>2.1</v>
      </c>
      <c r="U32">
        <v>18</v>
      </c>
      <c r="V32">
        <f t="shared" si="0"/>
        <v>0</v>
      </c>
      <c r="W32">
        <v>0.08</v>
      </c>
      <c r="X32" s="4">
        <f t="shared" si="3"/>
        <v>1</v>
      </c>
      <c r="Y32">
        <v>0.08</v>
      </c>
      <c r="Z32" s="4">
        <f t="shared" si="4"/>
        <v>1</v>
      </c>
      <c r="AA32">
        <v>2012</v>
      </c>
      <c r="AB32">
        <v>2015</v>
      </c>
      <c r="AF32" s="7" t="s">
        <v>76</v>
      </c>
      <c r="AG32" s="13" t="s">
        <v>77</v>
      </c>
      <c r="AH32" s="2"/>
      <c r="AI32" s="2"/>
      <c r="AJ32" t="s">
        <v>278</v>
      </c>
      <c r="AK32" s="27" t="s">
        <v>515</v>
      </c>
      <c r="AL32" s="27"/>
      <c r="AN32" t="s">
        <v>516</v>
      </c>
      <c r="AP32" t="s">
        <v>279</v>
      </c>
      <c r="AQ32" t="s">
        <v>517</v>
      </c>
      <c r="AR32" t="s">
        <v>270</v>
      </c>
      <c r="AW32" s="27"/>
      <c r="AX32" s="27"/>
      <c r="AY32" t="s">
        <v>518</v>
      </c>
      <c r="BB32" t="s">
        <v>519</v>
      </c>
    </row>
    <row r="33" spans="1:63" ht="24.75" customHeight="1" x14ac:dyDescent="0.2">
      <c r="A33" t="s">
        <v>73</v>
      </c>
      <c r="B33" s="4">
        <v>0</v>
      </c>
      <c r="C33" t="s">
        <v>73</v>
      </c>
      <c r="D33" t="s">
        <v>73</v>
      </c>
      <c r="F33" t="s">
        <v>585</v>
      </c>
      <c r="H33" t="s">
        <v>8</v>
      </c>
      <c r="I33">
        <v>3</v>
      </c>
      <c r="J33" t="s">
        <v>25</v>
      </c>
      <c r="K33" t="s">
        <v>74</v>
      </c>
      <c r="L33" t="s">
        <v>75</v>
      </c>
      <c r="M33" t="s">
        <v>26</v>
      </c>
      <c r="O33" t="s">
        <v>35</v>
      </c>
      <c r="T33">
        <v>2.1</v>
      </c>
      <c r="U33">
        <v>18</v>
      </c>
      <c r="V33">
        <f t="shared" si="0"/>
        <v>0</v>
      </c>
      <c r="W33">
        <v>0.08</v>
      </c>
      <c r="X33" s="4">
        <f t="shared" si="3"/>
        <v>1</v>
      </c>
      <c r="Y33">
        <v>0.08</v>
      </c>
      <c r="Z33" s="4">
        <f t="shared" si="4"/>
        <v>1</v>
      </c>
      <c r="AA33">
        <v>2017</v>
      </c>
      <c r="AB33">
        <v>2020</v>
      </c>
      <c r="AF33" s="7" t="s">
        <v>76</v>
      </c>
      <c r="AG33" s="13" t="s">
        <v>77</v>
      </c>
      <c r="AH33" s="2"/>
      <c r="AI33" s="2"/>
      <c r="AJ33" t="s">
        <v>278</v>
      </c>
      <c r="AK33" s="27" t="s">
        <v>515</v>
      </c>
      <c r="AL33" s="27"/>
      <c r="AN33" t="s">
        <v>516</v>
      </c>
      <c r="AP33" t="s">
        <v>279</v>
      </c>
      <c r="AQ33" t="s">
        <v>517</v>
      </c>
      <c r="AR33" t="s">
        <v>270</v>
      </c>
      <c r="AW33" s="27"/>
      <c r="AX33" s="27"/>
      <c r="AY33" t="s">
        <v>518</v>
      </c>
      <c r="BB33" t="s">
        <v>519</v>
      </c>
    </row>
    <row r="34" spans="1:63" ht="24.75" customHeight="1" x14ac:dyDescent="0.2">
      <c r="A34" t="s">
        <v>73</v>
      </c>
      <c r="B34" s="4">
        <v>0</v>
      </c>
      <c r="C34" t="s">
        <v>73</v>
      </c>
      <c r="D34" t="s">
        <v>73</v>
      </c>
      <c r="F34" t="s">
        <v>586</v>
      </c>
      <c r="H34" t="s">
        <v>8</v>
      </c>
      <c r="I34">
        <v>4</v>
      </c>
      <c r="J34" t="s">
        <v>25</v>
      </c>
      <c r="K34" t="s">
        <v>74</v>
      </c>
      <c r="L34" t="s">
        <v>75</v>
      </c>
      <c r="M34" t="s">
        <v>26</v>
      </c>
      <c r="O34" t="s">
        <v>35</v>
      </c>
      <c r="T34">
        <v>2.1</v>
      </c>
      <c r="U34">
        <v>18</v>
      </c>
      <c r="V34">
        <f t="shared" si="0"/>
        <v>0</v>
      </c>
      <c r="W34">
        <v>0.08</v>
      </c>
      <c r="X34" s="4">
        <f t="shared" si="3"/>
        <v>1</v>
      </c>
      <c r="Y34">
        <v>0.08</v>
      </c>
      <c r="Z34" s="4">
        <f t="shared" si="4"/>
        <v>1</v>
      </c>
      <c r="AA34">
        <v>2021</v>
      </c>
      <c r="AB34">
        <v>2024</v>
      </c>
      <c r="AF34" s="7" t="s">
        <v>76</v>
      </c>
      <c r="AG34" s="13" t="s">
        <v>77</v>
      </c>
      <c r="AH34" s="2"/>
      <c r="AI34" s="2"/>
      <c r="AJ34" t="s">
        <v>278</v>
      </c>
      <c r="AK34" s="27" t="s">
        <v>515</v>
      </c>
      <c r="AL34" s="27"/>
      <c r="AN34" t="s">
        <v>516</v>
      </c>
      <c r="AP34" t="s">
        <v>279</v>
      </c>
      <c r="AQ34" t="s">
        <v>517</v>
      </c>
      <c r="AR34" t="s">
        <v>270</v>
      </c>
      <c r="AW34" s="27"/>
      <c r="AX34" s="27"/>
      <c r="AY34" t="s">
        <v>518</v>
      </c>
      <c r="BB34" t="s">
        <v>519</v>
      </c>
    </row>
    <row r="35" spans="1:63" s="33" customFormat="1" x14ac:dyDescent="0.2">
      <c r="A35" s="33" t="s">
        <v>73</v>
      </c>
      <c r="B35" s="34">
        <v>2</v>
      </c>
      <c r="C35" s="33" t="s">
        <v>73</v>
      </c>
      <c r="D35" s="33" t="s">
        <v>150</v>
      </c>
      <c r="H35" s="33" t="s">
        <v>618</v>
      </c>
      <c r="I35" s="33">
        <v>1</v>
      </c>
      <c r="AJ35" s="33" t="s">
        <v>278</v>
      </c>
      <c r="AK35" s="33" t="s">
        <v>515</v>
      </c>
      <c r="AN35" s="33" t="s">
        <v>516</v>
      </c>
      <c r="AP35" s="33" t="s">
        <v>279</v>
      </c>
      <c r="AQ35" s="33" t="s">
        <v>517</v>
      </c>
      <c r="AR35" s="33" t="s">
        <v>270</v>
      </c>
      <c r="AY35" s="33" t="s">
        <v>518</v>
      </c>
      <c r="BB35" s="33" t="s">
        <v>519</v>
      </c>
    </row>
    <row r="36" spans="1:63" ht="18.75" customHeight="1" x14ac:dyDescent="0.2">
      <c r="A36" t="s">
        <v>78</v>
      </c>
      <c r="B36" s="4">
        <v>0</v>
      </c>
      <c r="C36" t="s">
        <v>78</v>
      </c>
      <c r="D36" t="s">
        <v>78</v>
      </c>
      <c r="F36" t="s">
        <v>587</v>
      </c>
      <c r="H36" t="s">
        <v>8</v>
      </c>
      <c r="I36">
        <v>2</v>
      </c>
      <c r="J36" t="s">
        <v>3</v>
      </c>
      <c r="K36" t="s">
        <v>79</v>
      </c>
      <c r="L36" t="s">
        <v>80</v>
      </c>
      <c r="M36" t="s">
        <v>26</v>
      </c>
      <c r="N36" t="s">
        <v>321</v>
      </c>
      <c r="O36" t="s">
        <v>35</v>
      </c>
      <c r="T36">
        <v>0.5</v>
      </c>
      <c r="V36">
        <f t="shared" ref="V36:V63" si="5">IF(NOT(ISBLANK(T36)), IF(T36&gt;=AVERAGE($T$2:$T$125), 1, 0), IF(NOT(ISBLANK(U36)), IF(U36&gt;=AVERAGE($U$2:$U$125), 1, 0), "geen data"))</f>
        <v>0</v>
      </c>
      <c r="W36">
        <v>0.45</v>
      </c>
      <c r="X36" s="4">
        <f t="shared" ref="X36:X63" si="6">IF(ISBLANK(W36), "geen data", IF(W36&lt;=AVERAGE($W$2:$W$125), 1, 0))</f>
        <v>0</v>
      </c>
      <c r="Y36">
        <v>0.1</v>
      </c>
      <c r="Z36" s="4">
        <f t="shared" ref="Z36:Z63" si="7">IF(ISBLANK(Y36), "geen data", IF(Y36&lt;=AVERAGE($Y$2:$Y$125), 1, 0))</f>
        <v>1</v>
      </c>
      <c r="AB36">
        <v>2020</v>
      </c>
      <c r="AF36" s="6" t="s">
        <v>81</v>
      </c>
      <c r="AG36" s="13" t="s">
        <v>82</v>
      </c>
      <c r="AH36" s="2"/>
      <c r="AI36" s="2"/>
      <c r="AJ36" s="27" t="s">
        <v>278</v>
      </c>
      <c r="AK36" s="27" t="s">
        <v>275</v>
      </c>
      <c r="AL36" t="s">
        <v>280</v>
      </c>
      <c r="AM36" s="27" t="s">
        <v>520</v>
      </c>
      <c r="AN36" t="s">
        <v>521</v>
      </c>
      <c r="AQ36" t="s">
        <v>522</v>
      </c>
      <c r="AR36" s="27" t="s">
        <v>523</v>
      </c>
      <c r="AS36" t="s">
        <v>524</v>
      </c>
      <c r="AU36" s="27" t="s">
        <v>525</v>
      </c>
      <c r="AV36" s="27" t="s">
        <v>526</v>
      </c>
      <c r="AW36" s="27" t="s">
        <v>527</v>
      </c>
      <c r="AX36" t="s">
        <v>528</v>
      </c>
      <c r="AY36" t="s">
        <v>529</v>
      </c>
      <c r="BB36" t="s">
        <v>530</v>
      </c>
    </row>
    <row r="37" spans="1:63" ht="18.75" customHeight="1" thickBot="1" x14ac:dyDescent="0.25">
      <c r="A37" t="s">
        <v>78</v>
      </c>
      <c r="B37" s="4">
        <v>0</v>
      </c>
      <c r="C37" t="s">
        <v>78</v>
      </c>
      <c r="D37" t="s">
        <v>78</v>
      </c>
      <c r="F37" t="s">
        <v>588</v>
      </c>
      <c r="H37" t="s">
        <v>8</v>
      </c>
      <c r="I37">
        <v>1</v>
      </c>
      <c r="J37" t="s">
        <v>3</v>
      </c>
      <c r="K37" t="s">
        <v>79</v>
      </c>
      <c r="L37" t="s">
        <v>80</v>
      </c>
      <c r="M37" t="s">
        <v>26</v>
      </c>
      <c r="N37" t="s">
        <v>321</v>
      </c>
      <c r="O37" t="s">
        <v>35</v>
      </c>
      <c r="T37">
        <v>5</v>
      </c>
      <c r="V37">
        <f t="shared" si="5"/>
        <v>0</v>
      </c>
      <c r="W37">
        <v>0.45</v>
      </c>
      <c r="X37" s="4">
        <f t="shared" si="6"/>
        <v>0</v>
      </c>
      <c r="Y37">
        <v>0.1</v>
      </c>
      <c r="Z37" s="4">
        <f t="shared" si="7"/>
        <v>1</v>
      </c>
      <c r="AB37">
        <v>2020</v>
      </c>
      <c r="AF37" s="6" t="s">
        <v>81</v>
      </c>
      <c r="AG37" s="13" t="s">
        <v>82</v>
      </c>
      <c r="AH37" s="2"/>
      <c r="AI37" s="2"/>
      <c r="AJ37" s="27" t="s">
        <v>278</v>
      </c>
      <c r="AK37" s="27" t="s">
        <v>275</v>
      </c>
      <c r="AL37" t="s">
        <v>280</v>
      </c>
      <c r="AM37" s="27" t="s">
        <v>520</v>
      </c>
      <c r="AN37" t="s">
        <v>521</v>
      </c>
      <c r="AQ37" t="s">
        <v>522</v>
      </c>
      <c r="AR37" s="27" t="s">
        <v>523</v>
      </c>
      <c r="AS37" t="s">
        <v>524</v>
      </c>
      <c r="AU37" s="27" t="s">
        <v>525</v>
      </c>
      <c r="AV37" s="27" t="s">
        <v>526</v>
      </c>
      <c r="AW37" s="27" t="s">
        <v>527</v>
      </c>
      <c r="AX37" t="s">
        <v>528</v>
      </c>
      <c r="AY37" t="s">
        <v>529</v>
      </c>
      <c r="BB37" t="s">
        <v>530</v>
      </c>
    </row>
    <row r="38" spans="1:63" ht="30.75" customHeight="1" thickBot="1" x14ac:dyDescent="0.25">
      <c r="A38" t="s">
        <v>83</v>
      </c>
      <c r="B38" s="4">
        <v>0</v>
      </c>
      <c r="C38" t="s">
        <v>83</v>
      </c>
      <c r="D38" t="s">
        <v>83</v>
      </c>
      <c r="F38" t="s">
        <v>589</v>
      </c>
      <c r="H38" t="s">
        <v>8</v>
      </c>
      <c r="I38">
        <v>3</v>
      </c>
      <c r="J38" t="s">
        <v>25</v>
      </c>
      <c r="K38" t="s">
        <v>84</v>
      </c>
      <c r="L38" t="s">
        <v>85</v>
      </c>
      <c r="M38" t="s">
        <v>338</v>
      </c>
      <c r="N38" t="s">
        <v>318</v>
      </c>
      <c r="O38" t="s">
        <v>35</v>
      </c>
      <c r="T38">
        <v>10</v>
      </c>
      <c r="V38">
        <f t="shared" si="5"/>
        <v>1</v>
      </c>
      <c r="W38">
        <v>0.5</v>
      </c>
      <c r="X38" s="4">
        <f t="shared" si="6"/>
        <v>0</v>
      </c>
      <c r="Y38">
        <v>0.1</v>
      </c>
      <c r="Z38" s="4">
        <f t="shared" si="7"/>
        <v>1</v>
      </c>
      <c r="AB38">
        <v>2024</v>
      </c>
      <c r="AF38" s="10" t="s">
        <v>86</v>
      </c>
      <c r="AG38" s="13" t="s">
        <v>87</v>
      </c>
      <c r="AJ38" t="s">
        <v>278</v>
      </c>
      <c r="AK38" t="s">
        <v>275</v>
      </c>
      <c r="AL38" t="s">
        <v>280</v>
      </c>
      <c r="AM38" t="s">
        <v>281</v>
      </c>
      <c r="AN38" t="s">
        <v>282</v>
      </c>
      <c r="AP38" t="s">
        <v>276</v>
      </c>
      <c r="AR38" t="s">
        <v>270</v>
      </c>
      <c r="AY38" t="s">
        <v>531</v>
      </c>
      <c r="BB38" t="s">
        <v>532</v>
      </c>
      <c r="BH38" s="2"/>
      <c r="BJ38" s="3"/>
      <c r="BK38" s="2"/>
    </row>
    <row r="39" spans="1:63" ht="30.75" customHeight="1" thickBot="1" x14ac:dyDescent="0.25">
      <c r="A39" t="s">
        <v>83</v>
      </c>
      <c r="B39" s="4">
        <v>0</v>
      </c>
      <c r="C39" t="s">
        <v>83</v>
      </c>
      <c r="D39" t="s">
        <v>83</v>
      </c>
      <c r="F39" t="s">
        <v>590</v>
      </c>
      <c r="H39" t="s">
        <v>8</v>
      </c>
      <c r="I39">
        <v>2</v>
      </c>
      <c r="J39" t="s">
        <v>25</v>
      </c>
      <c r="K39" t="s">
        <v>84</v>
      </c>
      <c r="L39" t="s">
        <v>85</v>
      </c>
      <c r="M39" t="s">
        <v>26</v>
      </c>
      <c r="N39" t="s">
        <v>318</v>
      </c>
      <c r="O39" t="s">
        <v>35</v>
      </c>
      <c r="T39">
        <v>10</v>
      </c>
      <c r="V39">
        <f t="shared" si="5"/>
        <v>1</v>
      </c>
      <c r="W39">
        <v>0.5</v>
      </c>
      <c r="X39" s="4">
        <f t="shared" si="6"/>
        <v>0</v>
      </c>
      <c r="Y39">
        <v>0.1</v>
      </c>
      <c r="Z39" s="4">
        <f t="shared" si="7"/>
        <v>1</v>
      </c>
      <c r="AB39">
        <v>2024</v>
      </c>
      <c r="AF39" s="10" t="s">
        <v>86</v>
      </c>
      <c r="AG39" s="13" t="s">
        <v>87</v>
      </c>
      <c r="AJ39" t="s">
        <v>278</v>
      </c>
      <c r="AK39" t="s">
        <v>275</v>
      </c>
      <c r="AL39" t="s">
        <v>280</v>
      </c>
      <c r="AM39" t="s">
        <v>281</v>
      </c>
      <c r="AN39" t="s">
        <v>282</v>
      </c>
      <c r="AP39" t="s">
        <v>276</v>
      </c>
      <c r="AR39" t="s">
        <v>270</v>
      </c>
      <c r="AY39" t="s">
        <v>531</v>
      </c>
      <c r="BB39" t="s">
        <v>532</v>
      </c>
      <c r="BH39" s="2"/>
      <c r="BJ39" s="3"/>
      <c r="BK39" s="2"/>
    </row>
    <row r="40" spans="1:63" ht="15" customHeight="1" x14ac:dyDescent="0.2">
      <c r="A40" t="s">
        <v>88</v>
      </c>
      <c r="B40" s="4">
        <v>0</v>
      </c>
      <c r="C40" t="s">
        <v>88</v>
      </c>
      <c r="D40" t="s">
        <v>88</v>
      </c>
      <c r="F40" t="s">
        <v>591</v>
      </c>
      <c r="H40" t="s">
        <v>8</v>
      </c>
      <c r="I40">
        <v>1</v>
      </c>
      <c r="J40" t="s">
        <v>3</v>
      </c>
      <c r="K40" t="s">
        <v>89</v>
      </c>
      <c r="L40" t="s">
        <v>90</v>
      </c>
      <c r="M40" t="s">
        <v>26</v>
      </c>
      <c r="N40" t="s">
        <v>319</v>
      </c>
      <c r="O40" t="s">
        <v>35</v>
      </c>
      <c r="T40">
        <v>40</v>
      </c>
      <c r="V40">
        <f t="shared" si="5"/>
        <v>1</v>
      </c>
      <c r="W40">
        <v>0.2</v>
      </c>
      <c r="X40" s="4">
        <f t="shared" si="6"/>
        <v>1</v>
      </c>
      <c r="Y40">
        <v>0.1</v>
      </c>
      <c r="Z40" s="4">
        <f t="shared" si="7"/>
        <v>1</v>
      </c>
      <c r="AB40">
        <v>2025</v>
      </c>
      <c r="AG40" s="14" t="s">
        <v>91</v>
      </c>
      <c r="AJ40" t="s">
        <v>278</v>
      </c>
      <c r="AK40" t="s">
        <v>275</v>
      </c>
      <c r="AL40" t="s">
        <v>280</v>
      </c>
      <c r="AM40" t="s">
        <v>281</v>
      </c>
      <c r="AN40" t="s">
        <v>282</v>
      </c>
      <c r="AP40" t="s">
        <v>279</v>
      </c>
      <c r="AQ40" t="s">
        <v>533</v>
      </c>
      <c r="AR40" t="s">
        <v>270</v>
      </c>
      <c r="AY40" t="s">
        <v>277</v>
      </c>
      <c r="BB40" t="s">
        <v>534</v>
      </c>
    </row>
    <row r="41" spans="1:63" ht="33" customHeight="1" x14ac:dyDescent="0.2">
      <c r="A41" t="s">
        <v>92</v>
      </c>
      <c r="B41" s="4">
        <v>1</v>
      </c>
      <c r="C41" t="s">
        <v>88</v>
      </c>
      <c r="D41" t="s">
        <v>92</v>
      </c>
      <c r="E41" s="31" t="s">
        <v>775</v>
      </c>
      <c r="G41" s="6" t="s">
        <v>320</v>
      </c>
      <c r="H41" t="s">
        <v>619</v>
      </c>
      <c r="I41">
        <v>1</v>
      </c>
      <c r="J41" t="s">
        <v>25</v>
      </c>
      <c r="K41" t="s">
        <v>89</v>
      </c>
      <c r="L41" t="s">
        <v>90</v>
      </c>
      <c r="M41" t="s">
        <v>26</v>
      </c>
      <c r="N41" t="s">
        <v>318</v>
      </c>
      <c r="O41" t="s">
        <v>35</v>
      </c>
      <c r="T41">
        <v>5</v>
      </c>
      <c r="V41">
        <f t="shared" si="5"/>
        <v>0</v>
      </c>
      <c r="X41" s="4" t="str">
        <f t="shared" si="6"/>
        <v>geen data</v>
      </c>
      <c r="Z41" s="4" t="str">
        <f t="shared" si="7"/>
        <v>geen data</v>
      </c>
      <c r="AB41">
        <v>2025</v>
      </c>
      <c r="AF41" t="s">
        <v>93</v>
      </c>
      <c r="AG41" s="13" t="s">
        <v>37</v>
      </c>
      <c r="BH41" s="2"/>
      <c r="BJ41" s="9"/>
      <c r="BK41" s="2"/>
    </row>
    <row r="42" spans="1:63" ht="23.25" customHeight="1" x14ac:dyDescent="0.2">
      <c r="A42" t="s">
        <v>94</v>
      </c>
      <c r="B42" s="4">
        <v>1</v>
      </c>
      <c r="C42" t="s">
        <v>88</v>
      </c>
      <c r="D42" t="s">
        <v>94</v>
      </c>
      <c r="E42" s="31" t="s">
        <v>776</v>
      </c>
      <c r="G42" s="6" t="s">
        <v>320</v>
      </c>
      <c r="H42" t="s">
        <v>619</v>
      </c>
      <c r="I42">
        <v>1</v>
      </c>
      <c r="J42" t="s">
        <v>25</v>
      </c>
      <c r="K42" t="s">
        <v>89</v>
      </c>
      <c r="L42" t="s">
        <v>90</v>
      </c>
      <c r="M42" t="s">
        <v>39</v>
      </c>
      <c r="N42" t="s">
        <v>317</v>
      </c>
      <c r="O42" t="s">
        <v>35</v>
      </c>
      <c r="T42">
        <v>8</v>
      </c>
      <c r="V42">
        <f t="shared" si="5"/>
        <v>1</v>
      </c>
      <c r="X42" s="4" t="str">
        <f t="shared" si="6"/>
        <v>geen data</v>
      </c>
      <c r="Z42" s="4" t="str">
        <f t="shared" si="7"/>
        <v>geen data</v>
      </c>
      <c r="AB42">
        <v>2022</v>
      </c>
      <c r="AG42" s="13" t="s">
        <v>37</v>
      </c>
    </row>
    <row r="43" spans="1:63" ht="35.25" customHeight="1" x14ac:dyDescent="0.2">
      <c r="A43" t="s">
        <v>95</v>
      </c>
      <c r="B43" s="4">
        <v>1</v>
      </c>
      <c r="C43" t="s">
        <v>88</v>
      </c>
      <c r="D43" t="s">
        <v>95</v>
      </c>
      <c r="E43" s="31" t="s">
        <v>772</v>
      </c>
      <c r="F43" t="s">
        <v>773</v>
      </c>
      <c r="G43" t="s">
        <v>315</v>
      </c>
      <c r="H43" t="s">
        <v>619</v>
      </c>
      <c r="I43">
        <v>1</v>
      </c>
      <c r="J43" t="s">
        <v>25</v>
      </c>
      <c r="K43" t="s">
        <v>89</v>
      </c>
      <c r="L43" t="s">
        <v>90</v>
      </c>
      <c r="M43" t="s">
        <v>338</v>
      </c>
      <c r="N43" t="s">
        <v>318</v>
      </c>
      <c r="O43" t="s">
        <v>35</v>
      </c>
      <c r="Q43">
        <v>1</v>
      </c>
      <c r="S43">
        <v>1</v>
      </c>
      <c r="T43">
        <v>4</v>
      </c>
      <c r="V43">
        <f t="shared" si="5"/>
        <v>0</v>
      </c>
      <c r="W43">
        <v>0.5</v>
      </c>
      <c r="X43" s="4">
        <f t="shared" si="6"/>
        <v>0</v>
      </c>
      <c r="Y43">
        <v>0.1</v>
      </c>
      <c r="Z43" s="4">
        <f t="shared" si="7"/>
        <v>1</v>
      </c>
      <c r="AB43">
        <v>2024</v>
      </c>
      <c r="AE43" t="s">
        <v>774</v>
      </c>
      <c r="AF43" t="s">
        <v>96</v>
      </c>
      <c r="AG43" s="13" t="s">
        <v>37</v>
      </c>
      <c r="AJ43" t="s">
        <v>278</v>
      </c>
      <c r="AK43" t="s">
        <v>275</v>
      </c>
      <c r="AP43" t="s">
        <v>279</v>
      </c>
      <c r="BB43" t="s">
        <v>535</v>
      </c>
    </row>
    <row r="44" spans="1:63" ht="38.25" customHeight="1" x14ac:dyDescent="0.2">
      <c r="A44" t="s">
        <v>97</v>
      </c>
      <c r="B44" s="4">
        <v>1</v>
      </c>
      <c r="C44" t="s">
        <v>88</v>
      </c>
      <c r="D44" t="s">
        <v>97</v>
      </c>
      <c r="E44" t="s">
        <v>702</v>
      </c>
      <c r="F44" t="s">
        <v>701</v>
      </c>
      <c r="G44" s="6" t="s">
        <v>320</v>
      </c>
      <c r="H44" t="s">
        <v>619</v>
      </c>
      <c r="I44">
        <v>1</v>
      </c>
      <c r="J44" t="s">
        <v>25</v>
      </c>
      <c r="K44" t="s">
        <v>89</v>
      </c>
      <c r="L44" t="s">
        <v>90</v>
      </c>
      <c r="M44" t="s">
        <v>26</v>
      </c>
      <c r="N44" t="s">
        <v>318</v>
      </c>
      <c r="O44" t="s">
        <v>35</v>
      </c>
      <c r="T44">
        <v>9.8000000000000007</v>
      </c>
      <c r="V44">
        <f t="shared" si="5"/>
        <v>1</v>
      </c>
      <c r="W44">
        <v>0.05</v>
      </c>
      <c r="X44" s="4">
        <f t="shared" si="6"/>
        <v>1</v>
      </c>
      <c r="Y44">
        <v>0.05</v>
      </c>
      <c r="Z44" s="4">
        <f t="shared" si="7"/>
        <v>1</v>
      </c>
      <c r="AB44">
        <v>2021</v>
      </c>
      <c r="AD44" t="s">
        <v>703</v>
      </c>
      <c r="AF44" s="6" t="s">
        <v>98</v>
      </c>
      <c r="AG44" s="13" t="s">
        <v>37</v>
      </c>
      <c r="AH44" s="2"/>
      <c r="AI44" s="2"/>
      <c r="AJ44" s="27"/>
      <c r="AK44" s="27" t="s">
        <v>271</v>
      </c>
      <c r="AL44" t="s">
        <v>280</v>
      </c>
      <c r="AM44" s="27" t="s">
        <v>281</v>
      </c>
      <c r="AN44" t="s">
        <v>282</v>
      </c>
      <c r="AQ44" t="s">
        <v>536</v>
      </c>
    </row>
    <row r="45" spans="1:63" ht="39.75" customHeight="1" x14ac:dyDescent="0.2">
      <c r="A45" t="s">
        <v>99</v>
      </c>
      <c r="B45" s="4">
        <v>1</v>
      </c>
      <c r="C45" t="s">
        <v>88</v>
      </c>
      <c r="D45" t="s">
        <v>99</v>
      </c>
      <c r="E45" t="s">
        <v>715</v>
      </c>
      <c r="G45" t="s">
        <v>315</v>
      </c>
      <c r="H45" t="s">
        <v>619</v>
      </c>
      <c r="I45">
        <v>1</v>
      </c>
      <c r="J45" t="s">
        <v>25</v>
      </c>
      <c r="K45" t="s">
        <v>89</v>
      </c>
      <c r="L45" t="s">
        <v>90</v>
      </c>
      <c r="M45" t="s">
        <v>26</v>
      </c>
      <c r="N45" t="s">
        <v>317</v>
      </c>
      <c r="O45" t="s">
        <v>35</v>
      </c>
      <c r="T45">
        <v>7</v>
      </c>
      <c r="V45">
        <f t="shared" si="5"/>
        <v>0</v>
      </c>
      <c r="W45">
        <v>0.3</v>
      </c>
      <c r="X45" s="4">
        <f t="shared" si="6"/>
        <v>0</v>
      </c>
      <c r="Y45">
        <v>0.15</v>
      </c>
      <c r="Z45" s="4">
        <f t="shared" si="7"/>
        <v>0</v>
      </c>
      <c r="AB45">
        <v>2018</v>
      </c>
      <c r="AC45" s="6"/>
      <c r="AD45" s="6" t="s">
        <v>100</v>
      </c>
      <c r="AE45" s="6"/>
      <c r="AF45" s="6" t="s">
        <v>704</v>
      </c>
      <c r="AG45" s="13" t="s">
        <v>37</v>
      </c>
    </row>
    <row r="46" spans="1:63" ht="24.75" customHeight="1" x14ac:dyDescent="0.2">
      <c r="A46" t="s">
        <v>101</v>
      </c>
      <c r="B46" s="4">
        <v>1</v>
      </c>
      <c r="C46" t="s">
        <v>88</v>
      </c>
      <c r="D46" t="s">
        <v>101</v>
      </c>
      <c r="E46" s="6" t="s">
        <v>716</v>
      </c>
      <c r="G46" s="6" t="s">
        <v>320</v>
      </c>
      <c r="H46" t="s">
        <v>619</v>
      </c>
      <c r="I46">
        <v>1</v>
      </c>
      <c r="J46" t="s">
        <v>25</v>
      </c>
      <c r="K46" t="s">
        <v>89</v>
      </c>
      <c r="L46" t="s">
        <v>90</v>
      </c>
      <c r="M46" t="s">
        <v>39</v>
      </c>
      <c r="N46" t="s">
        <v>319</v>
      </c>
      <c r="O46" t="s">
        <v>35</v>
      </c>
      <c r="T46">
        <v>2</v>
      </c>
      <c r="V46">
        <f t="shared" si="5"/>
        <v>0</v>
      </c>
      <c r="W46">
        <v>7.0000000000000007E-2</v>
      </c>
      <c r="X46" s="4">
        <f t="shared" si="6"/>
        <v>1</v>
      </c>
      <c r="Y46">
        <v>7.0000000000000007E-2</v>
      </c>
      <c r="Z46" s="4">
        <f t="shared" si="7"/>
        <v>1</v>
      </c>
      <c r="AB46">
        <v>2014</v>
      </c>
      <c r="AD46" s="6" t="s">
        <v>102</v>
      </c>
      <c r="AE46" s="6"/>
      <c r="AF46" s="6" t="s">
        <v>705</v>
      </c>
      <c r="AG46" s="13" t="s">
        <v>37</v>
      </c>
    </row>
    <row r="47" spans="1:63" x14ac:dyDescent="0.2">
      <c r="A47" t="s">
        <v>103</v>
      </c>
      <c r="B47" s="4">
        <v>1</v>
      </c>
      <c r="C47" t="s">
        <v>88</v>
      </c>
      <c r="D47" t="s">
        <v>103</v>
      </c>
      <c r="G47" s="6" t="s">
        <v>320</v>
      </c>
      <c r="H47" t="s">
        <v>619</v>
      </c>
      <c r="I47">
        <v>1</v>
      </c>
      <c r="J47" t="s">
        <v>25</v>
      </c>
      <c r="K47" t="s">
        <v>89</v>
      </c>
      <c r="L47" t="s">
        <v>90</v>
      </c>
      <c r="M47" t="s">
        <v>39</v>
      </c>
      <c r="N47" t="s">
        <v>318</v>
      </c>
      <c r="O47" t="s">
        <v>35</v>
      </c>
      <c r="T47">
        <v>4</v>
      </c>
      <c r="V47">
        <f t="shared" si="5"/>
        <v>0</v>
      </c>
      <c r="W47">
        <v>0.3</v>
      </c>
      <c r="X47" s="4">
        <f t="shared" si="6"/>
        <v>0</v>
      </c>
      <c r="Y47">
        <v>0.15</v>
      </c>
      <c r="Z47" s="4">
        <f t="shared" si="7"/>
        <v>0</v>
      </c>
      <c r="AB47">
        <v>2021</v>
      </c>
      <c r="AD47" s="6" t="s">
        <v>706</v>
      </c>
      <c r="AE47" s="6"/>
      <c r="AF47" s="6" t="s">
        <v>707</v>
      </c>
      <c r="AG47" t="s">
        <v>37</v>
      </c>
      <c r="AJ47" t="s">
        <v>278</v>
      </c>
      <c r="AK47" t="s">
        <v>275</v>
      </c>
      <c r="AL47" t="s">
        <v>537</v>
      </c>
      <c r="AM47" t="s">
        <v>538</v>
      </c>
      <c r="AN47" t="s">
        <v>539</v>
      </c>
      <c r="AP47" t="s">
        <v>279</v>
      </c>
      <c r="AQ47" t="s">
        <v>540</v>
      </c>
    </row>
    <row r="48" spans="1:63" ht="30.75" customHeight="1" x14ac:dyDescent="0.2">
      <c r="A48" t="s">
        <v>104</v>
      </c>
      <c r="B48" s="4">
        <v>1</v>
      </c>
      <c r="C48" t="s">
        <v>88</v>
      </c>
      <c r="D48" t="s">
        <v>104</v>
      </c>
      <c r="E48" t="s">
        <v>714</v>
      </c>
      <c r="F48" t="s">
        <v>713</v>
      </c>
      <c r="G48" t="s">
        <v>315</v>
      </c>
      <c r="H48" t="s">
        <v>619</v>
      </c>
      <c r="I48">
        <v>1</v>
      </c>
      <c r="J48" t="s">
        <v>25</v>
      </c>
      <c r="K48" t="s">
        <v>89</v>
      </c>
      <c r="L48" t="s">
        <v>90</v>
      </c>
      <c r="M48" t="s">
        <v>26</v>
      </c>
      <c r="N48" t="s">
        <v>317</v>
      </c>
      <c r="O48" t="s">
        <v>35</v>
      </c>
      <c r="T48">
        <v>2</v>
      </c>
      <c r="V48">
        <f t="shared" si="5"/>
        <v>0</v>
      </c>
      <c r="W48">
        <v>0.3</v>
      </c>
      <c r="X48" s="4">
        <f t="shared" si="6"/>
        <v>0</v>
      </c>
      <c r="Y48">
        <v>0.15</v>
      </c>
      <c r="Z48" s="4">
        <f t="shared" si="7"/>
        <v>0</v>
      </c>
      <c r="AB48">
        <v>2023</v>
      </c>
      <c r="AD48" s="6" t="s">
        <v>105</v>
      </c>
      <c r="AE48" s="6"/>
      <c r="AF48" s="6" t="s">
        <v>708</v>
      </c>
      <c r="AG48" s="13" t="s">
        <v>37</v>
      </c>
    </row>
    <row r="49" spans="1:54" x14ac:dyDescent="0.2">
      <c r="A49" t="s">
        <v>106</v>
      </c>
      <c r="B49" s="4">
        <v>1</v>
      </c>
      <c r="C49" t="s">
        <v>88</v>
      </c>
      <c r="D49" t="s">
        <v>106</v>
      </c>
      <c r="G49" s="6" t="s">
        <v>320</v>
      </c>
      <c r="H49" t="s">
        <v>619</v>
      </c>
      <c r="I49">
        <v>1</v>
      </c>
      <c r="J49" t="s">
        <v>25</v>
      </c>
      <c r="K49" t="s">
        <v>89</v>
      </c>
      <c r="L49" t="s">
        <v>90</v>
      </c>
      <c r="M49" t="s">
        <v>26</v>
      </c>
      <c r="O49" t="s">
        <v>35</v>
      </c>
      <c r="T49">
        <v>4</v>
      </c>
      <c r="V49">
        <f t="shared" si="5"/>
        <v>0</v>
      </c>
      <c r="W49">
        <v>0.3</v>
      </c>
      <c r="X49" s="4">
        <f t="shared" si="6"/>
        <v>0</v>
      </c>
      <c r="Y49">
        <v>0.15</v>
      </c>
      <c r="Z49" s="4">
        <f t="shared" si="7"/>
        <v>0</v>
      </c>
      <c r="AB49" t="s">
        <v>60</v>
      </c>
      <c r="AF49" s="6" t="s">
        <v>107</v>
      </c>
      <c r="AG49" t="s">
        <v>108</v>
      </c>
      <c r="AJ49" t="s">
        <v>541</v>
      </c>
      <c r="AK49" t="s">
        <v>542</v>
      </c>
      <c r="AR49" t="s">
        <v>284</v>
      </c>
      <c r="AY49" t="s">
        <v>285</v>
      </c>
      <c r="AZ49" t="s">
        <v>286</v>
      </c>
      <c r="BA49" t="s">
        <v>543</v>
      </c>
      <c r="BB49" t="s">
        <v>544</v>
      </c>
    </row>
    <row r="50" spans="1:54" ht="28.5" customHeight="1" x14ac:dyDescent="0.2">
      <c r="A50" t="s">
        <v>109</v>
      </c>
      <c r="B50" s="4">
        <v>1</v>
      </c>
      <c r="C50" t="s">
        <v>88</v>
      </c>
      <c r="D50" t="s">
        <v>109</v>
      </c>
      <c r="F50" t="s">
        <v>712</v>
      </c>
      <c r="G50" s="6" t="s">
        <v>320</v>
      </c>
      <c r="H50" t="s">
        <v>619</v>
      </c>
      <c r="I50">
        <v>1</v>
      </c>
      <c r="J50" t="s">
        <v>25</v>
      </c>
      <c r="K50" t="s">
        <v>89</v>
      </c>
      <c r="L50" t="s">
        <v>90</v>
      </c>
      <c r="M50" t="s">
        <v>26</v>
      </c>
      <c r="N50" t="s">
        <v>318</v>
      </c>
      <c r="O50" t="s">
        <v>35</v>
      </c>
      <c r="T50">
        <v>4</v>
      </c>
      <c r="U50">
        <v>10</v>
      </c>
      <c r="V50">
        <f t="shared" si="5"/>
        <v>0</v>
      </c>
      <c r="W50">
        <v>0.3</v>
      </c>
      <c r="X50" s="4">
        <f t="shared" si="6"/>
        <v>0</v>
      </c>
      <c r="Y50">
        <v>0.15</v>
      </c>
      <c r="Z50" s="4">
        <f t="shared" si="7"/>
        <v>0</v>
      </c>
      <c r="AB50">
        <v>2024</v>
      </c>
      <c r="AD50" s="6" t="s">
        <v>709</v>
      </c>
      <c r="AE50" s="6"/>
      <c r="AF50" s="17" t="s">
        <v>110</v>
      </c>
      <c r="AG50" s="13" t="s">
        <v>37</v>
      </c>
      <c r="AJ50" t="s">
        <v>278</v>
      </c>
      <c r="AK50" t="s">
        <v>275</v>
      </c>
      <c r="AP50" t="s">
        <v>279</v>
      </c>
      <c r="AR50" t="s">
        <v>270</v>
      </c>
      <c r="AV50" t="s">
        <v>545</v>
      </c>
      <c r="BB50" t="s">
        <v>546</v>
      </c>
    </row>
    <row r="51" spans="1:54" ht="33.75" customHeight="1" x14ac:dyDescent="0.2">
      <c r="A51" t="s">
        <v>111</v>
      </c>
      <c r="B51" s="4">
        <v>1</v>
      </c>
      <c r="C51" t="s">
        <v>88</v>
      </c>
      <c r="D51" t="s">
        <v>111</v>
      </c>
      <c r="F51" t="s">
        <v>711</v>
      </c>
      <c r="G51" s="6" t="s">
        <v>320</v>
      </c>
      <c r="H51" t="s">
        <v>619</v>
      </c>
      <c r="I51">
        <v>1</v>
      </c>
      <c r="J51" t="s">
        <v>25</v>
      </c>
      <c r="K51" t="s">
        <v>89</v>
      </c>
      <c r="L51" t="s">
        <v>90</v>
      </c>
      <c r="M51" t="s">
        <v>26</v>
      </c>
      <c r="N51" t="s">
        <v>318</v>
      </c>
      <c r="O51" t="s">
        <v>35</v>
      </c>
      <c r="T51">
        <v>4</v>
      </c>
      <c r="V51">
        <f t="shared" si="5"/>
        <v>0</v>
      </c>
      <c r="X51" s="4" t="str">
        <f t="shared" si="6"/>
        <v>geen data</v>
      </c>
      <c r="Y51">
        <v>0.15</v>
      </c>
      <c r="Z51" s="4">
        <f t="shared" si="7"/>
        <v>0</v>
      </c>
      <c r="AB51">
        <v>2025</v>
      </c>
      <c r="AD51" s="6" t="s">
        <v>710</v>
      </c>
      <c r="AE51" s="6"/>
      <c r="AF51" s="6" t="s">
        <v>112</v>
      </c>
      <c r="AG51" s="13" t="s">
        <v>37</v>
      </c>
    </row>
    <row r="52" spans="1:54" ht="35.25" customHeight="1" x14ac:dyDescent="0.2">
      <c r="A52" t="s">
        <v>113</v>
      </c>
      <c r="B52" s="4">
        <v>1</v>
      </c>
      <c r="C52" t="s">
        <v>88</v>
      </c>
      <c r="D52" t="s">
        <v>113</v>
      </c>
      <c r="E52" t="s">
        <v>719</v>
      </c>
      <c r="F52" t="s">
        <v>718</v>
      </c>
      <c r="G52" s="6" t="s">
        <v>320</v>
      </c>
      <c r="H52" t="s">
        <v>619</v>
      </c>
      <c r="I52">
        <v>1</v>
      </c>
      <c r="J52" t="s">
        <v>25</v>
      </c>
      <c r="K52" t="s">
        <v>89</v>
      </c>
      <c r="L52" t="s">
        <v>90</v>
      </c>
      <c r="M52" t="s">
        <v>26</v>
      </c>
      <c r="N52" t="s">
        <v>318</v>
      </c>
      <c r="O52" t="s">
        <v>35</v>
      </c>
      <c r="T52">
        <v>8</v>
      </c>
      <c r="V52">
        <f t="shared" si="5"/>
        <v>1</v>
      </c>
      <c r="X52" s="4" t="str">
        <f t="shared" si="6"/>
        <v>geen data</v>
      </c>
      <c r="Y52">
        <v>0.2</v>
      </c>
      <c r="Z52" s="4">
        <f t="shared" si="7"/>
        <v>0</v>
      </c>
      <c r="AB52">
        <v>2016</v>
      </c>
      <c r="AD52" s="6" t="s">
        <v>114</v>
      </c>
      <c r="AE52" s="6"/>
      <c r="AF52" s="6" t="s">
        <v>717</v>
      </c>
      <c r="AG52" s="13" t="s">
        <v>37</v>
      </c>
    </row>
    <row r="53" spans="1:54" x14ac:dyDescent="0.2">
      <c r="A53" t="s">
        <v>115</v>
      </c>
      <c r="B53" s="4">
        <v>1</v>
      </c>
      <c r="C53" t="s">
        <v>88</v>
      </c>
      <c r="D53" t="s">
        <v>115</v>
      </c>
      <c r="E53" t="s">
        <v>721</v>
      </c>
      <c r="G53" s="6" t="s">
        <v>320</v>
      </c>
      <c r="H53" t="s">
        <v>619</v>
      </c>
      <c r="I53">
        <v>1</v>
      </c>
      <c r="J53" t="s">
        <v>25</v>
      </c>
      <c r="K53" t="s">
        <v>89</v>
      </c>
      <c r="L53" t="s">
        <v>90</v>
      </c>
      <c r="M53" t="s">
        <v>26</v>
      </c>
      <c r="N53" t="s">
        <v>318</v>
      </c>
      <c r="O53" t="s">
        <v>35</v>
      </c>
      <c r="T53">
        <v>4</v>
      </c>
      <c r="V53">
        <f t="shared" si="5"/>
        <v>0</v>
      </c>
      <c r="W53">
        <v>0.3</v>
      </c>
      <c r="X53" s="4">
        <f t="shared" si="6"/>
        <v>0</v>
      </c>
      <c r="Y53">
        <v>0.15</v>
      </c>
      <c r="Z53" s="4">
        <f t="shared" si="7"/>
        <v>0</v>
      </c>
      <c r="AB53">
        <v>2023</v>
      </c>
      <c r="AD53" s="6" t="s">
        <v>720</v>
      </c>
      <c r="AE53" s="6"/>
      <c r="AF53" s="6" t="s">
        <v>722</v>
      </c>
      <c r="AG53" t="s">
        <v>116</v>
      </c>
    </row>
    <row r="54" spans="1:54" ht="43.5" customHeight="1" x14ac:dyDescent="0.2">
      <c r="A54" t="s">
        <v>117</v>
      </c>
      <c r="B54" s="4">
        <v>1</v>
      </c>
      <c r="C54" t="s">
        <v>88</v>
      </c>
      <c r="D54" t="s">
        <v>117</v>
      </c>
      <c r="E54" s="30" t="s">
        <v>723</v>
      </c>
      <c r="F54" s="30" t="s">
        <v>726</v>
      </c>
      <c r="G54" s="6" t="s">
        <v>320</v>
      </c>
      <c r="H54" t="s">
        <v>619</v>
      </c>
      <c r="I54">
        <v>1</v>
      </c>
      <c r="J54" t="s">
        <v>25</v>
      </c>
      <c r="K54" t="s">
        <v>89</v>
      </c>
      <c r="L54" t="s">
        <v>90</v>
      </c>
      <c r="M54" t="s">
        <v>338</v>
      </c>
      <c r="N54" t="s">
        <v>317</v>
      </c>
      <c r="O54" t="s">
        <v>35</v>
      </c>
      <c r="Q54">
        <v>1</v>
      </c>
      <c r="S54" t="s">
        <v>727</v>
      </c>
      <c r="T54">
        <v>4</v>
      </c>
      <c r="V54">
        <f t="shared" si="5"/>
        <v>0</v>
      </c>
      <c r="X54" s="4" t="str">
        <f t="shared" si="6"/>
        <v>geen data</v>
      </c>
      <c r="Z54" s="4" t="str">
        <f t="shared" si="7"/>
        <v>geen data</v>
      </c>
      <c r="AD54" s="6" t="s">
        <v>724</v>
      </c>
      <c r="AE54" s="6"/>
      <c r="AF54" s="6" t="s">
        <v>725</v>
      </c>
      <c r="AG54" s="13" t="s">
        <v>116</v>
      </c>
    </row>
    <row r="55" spans="1:54" ht="45" customHeight="1" x14ac:dyDescent="0.2">
      <c r="A55" t="s">
        <v>118</v>
      </c>
      <c r="B55" s="4">
        <v>1</v>
      </c>
      <c r="C55" t="s">
        <v>88</v>
      </c>
      <c r="D55" t="s">
        <v>118</v>
      </c>
      <c r="E55" s="6" t="s">
        <v>729</v>
      </c>
      <c r="G55" s="6" t="s">
        <v>320</v>
      </c>
      <c r="H55" t="s">
        <v>619</v>
      </c>
      <c r="I55">
        <v>1</v>
      </c>
      <c r="J55" t="s">
        <v>25</v>
      </c>
      <c r="K55" t="s">
        <v>89</v>
      </c>
      <c r="L55" t="s">
        <v>90</v>
      </c>
      <c r="M55" t="s">
        <v>39</v>
      </c>
      <c r="N55" t="s">
        <v>319</v>
      </c>
      <c r="O55" t="s">
        <v>35</v>
      </c>
      <c r="T55">
        <v>4</v>
      </c>
      <c r="V55">
        <f t="shared" si="5"/>
        <v>0</v>
      </c>
      <c r="W55">
        <v>0.3</v>
      </c>
      <c r="X55" s="4">
        <f t="shared" si="6"/>
        <v>0</v>
      </c>
      <c r="Y55">
        <v>0.15</v>
      </c>
      <c r="Z55" s="4">
        <f t="shared" si="7"/>
        <v>0</v>
      </c>
      <c r="AB55">
        <v>2009</v>
      </c>
      <c r="AD55" s="6" t="s">
        <v>119</v>
      </c>
      <c r="AE55" s="6"/>
      <c r="AF55" s="6" t="s">
        <v>728</v>
      </c>
      <c r="AG55" s="13" t="s">
        <v>37</v>
      </c>
    </row>
    <row r="56" spans="1:54" ht="36" customHeight="1" x14ac:dyDescent="0.2">
      <c r="A56" t="s">
        <v>120</v>
      </c>
      <c r="B56" s="4">
        <v>1</v>
      </c>
      <c r="C56" t="s">
        <v>88</v>
      </c>
      <c r="D56" t="s">
        <v>120</v>
      </c>
      <c r="H56" t="s">
        <v>619</v>
      </c>
      <c r="I56">
        <v>1</v>
      </c>
      <c r="J56" t="s">
        <v>25</v>
      </c>
      <c r="K56" t="s">
        <v>89</v>
      </c>
      <c r="L56" t="s">
        <v>90</v>
      </c>
      <c r="M56" t="s">
        <v>338</v>
      </c>
      <c r="N56" t="s">
        <v>61</v>
      </c>
      <c r="O56" t="s">
        <v>35</v>
      </c>
      <c r="P56">
        <v>1</v>
      </c>
      <c r="Q56">
        <v>1</v>
      </c>
      <c r="R56">
        <v>2</v>
      </c>
      <c r="S56">
        <v>2</v>
      </c>
      <c r="T56">
        <v>4</v>
      </c>
      <c r="V56">
        <f t="shared" si="5"/>
        <v>0</v>
      </c>
      <c r="W56">
        <v>0.3</v>
      </c>
      <c r="X56" s="4">
        <f t="shared" si="6"/>
        <v>0</v>
      </c>
      <c r="Y56">
        <v>0.15</v>
      </c>
      <c r="Z56" s="4">
        <f t="shared" si="7"/>
        <v>0</v>
      </c>
      <c r="AA56">
        <v>2010</v>
      </c>
      <c r="AB56">
        <v>2013</v>
      </c>
      <c r="AD56" s="6" t="s">
        <v>731</v>
      </c>
      <c r="AE56" s="6"/>
      <c r="AF56" s="6" t="s">
        <v>730</v>
      </c>
      <c r="AG56" s="13" t="s">
        <v>37</v>
      </c>
    </row>
    <row r="57" spans="1:54" ht="36" customHeight="1" x14ac:dyDescent="0.2">
      <c r="A57" t="s">
        <v>120</v>
      </c>
      <c r="B57" s="4">
        <v>1</v>
      </c>
      <c r="C57" t="s">
        <v>88</v>
      </c>
      <c r="D57" t="s">
        <v>120</v>
      </c>
      <c r="H57" t="s">
        <v>619</v>
      </c>
      <c r="I57">
        <v>2</v>
      </c>
      <c r="J57" t="s">
        <v>25</v>
      </c>
      <c r="K57" t="s">
        <v>89</v>
      </c>
      <c r="L57" t="s">
        <v>90</v>
      </c>
      <c r="M57" t="s">
        <v>338</v>
      </c>
      <c r="N57" t="s">
        <v>61</v>
      </c>
      <c r="O57" t="s">
        <v>35</v>
      </c>
      <c r="P57">
        <v>1</v>
      </c>
      <c r="Q57">
        <v>1</v>
      </c>
      <c r="R57">
        <v>1</v>
      </c>
      <c r="S57">
        <v>1</v>
      </c>
      <c r="T57">
        <v>4</v>
      </c>
      <c r="V57">
        <f t="shared" si="5"/>
        <v>0</v>
      </c>
      <c r="W57">
        <v>0.3</v>
      </c>
      <c r="X57" s="4">
        <f t="shared" si="6"/>
        <v>0</v>
      </c>
      <c r="Y57">
        <v>0.15</v>
      </c>
      <c r="Z57" s="4">
        <f t="shared" si="7"/>
        <v>0</v>
      </c>
      <c r="AA57">
        <v>2014</v>
      </c>
      <c r="AB57">
        <v>2019</v>
      </c>
      <c r="AD57" s="6" t="s">
        <v>732</v>
      </c>
      <c r="AE57" s="6"/>
      <c r="AF57" s="6" t="s">
        <v>730</v>
      </c>
      <c r="AG57" s="13" t="s">
        <v>37</v>
      </c>
    </row>
    <row r="58" spans="1:54" ht="36" customHeight="1" x14ac:dyDescent="0.2">
      <c r="A58" t="s">
        <v>120</v>
      </c>
      <c r="B58" s="4">
        <v>1</v>
      </c>
      <c r="C58" t="s">
        <v>88</v>
      </c>
      <c r="D58" t="s">
        <v>120</v>
      </c>
      <c r="H58" t="s">
        <v>619</v>
      </c>
      <c r="I58">
        <v>0</v>
      </c>
      <c r="J58" t="s">
        <v>25</v>
      </c>
      <c r="K58" t="s">
        <v>89</v>
      </c>
      <c r="L58" t="s">
        <v>90</v>
      </c>
      <c r="M58" t="s">
        <v>338</v>
      </c>
      <c r="N58" t="s">
        <v>61</v>
      </c>
      <c r="O58" t="s">
        <v>35</v>
      </c>
      <c r="P58">
        <v>1</v>
      </c>
      <c r="Q58">
        <v>1</v>
      </c>
      <c r="R58">
        <v>1</v>
      </c>
      <c r="S58">
        <v>1</v>
      </c>
      <c r="T58">
        <v>4</v>
      </c>
      <c r="V58">
        <f t="shared" si="5"/>
        <v>0</v>
      </c>
      <c r="W58">
        <v>0.3</v>
      </c>
      <c r="X58" s="4">
        <f t="shared" si="6"/>
        <v>0</v>
      </c>
      <c r="Y58">
        <v>0.15</v>
      </c>
      <c r="Z58" s="4">
        <f t="shared" si="7"/>
        <v>0</v>
      </c>
      <c r="AA58">
        <v>2020</v>
      </c>
      <c r="AB58">
        <v>2025</v>
      </c>
      <c r="AD58" s="6" t="s">
        <v>733</v>
      </c>
      <c r="AE58" s="6"/>
      <c r="AF58" s="6" t="s">
        <v>730</v>
      </c>
      <c r="AG58" s="13" t="s">
        <v>37</v>
      </c>
    </row>
    <row r="59" spans="1:54" ht="18.75" customHeight="1" x14ac:dyDescent="0.2">
      <c r="A59" t="s">
        <v>121</v>
      </c>
      <c r="B59" s="4">
        <v>0</v>
      </c>
      <c r="C59" t="s">
        <v>121</v>
      </c>
      <c r="D59" t="s">
        <v>121</v>
      </c>
      <c r="I59">
        <v>0</v>
      </c>
      <c r="J59" t="s">
        <v>25</v>
      </c>
      <c r="V59" t="str">
        <f t="shared" si="5"/>
        <v>geen data</v>
      </c>
      <c r="X59" s="4" t="str">
        <f t="shared" si="6"/>
        <v>geen data</v>
      </c>
      <c r="Z59" s="4" t="str">
        <f t="shared" si="7"/>
        <v>geen data</v>
      </c>
      <c r="AF59" s="10"/>
      <c r="AG59" s="15" t="s">
        <v>122</v>
      </c>
    </row>
    <row r="60" spans="1:54" ht="18.75" customHeight="1" x14ac:dyDescent="0.2">
      <c r="A60" t="s">
        <v>123</v>
      </c>
      <c r="B60" s="4" t="s">
        <v>576</v>
      </c>
      <c r="C60" t="s">
        <v>121</v>
      </c>
      <c r="D60" t="s">
        <v>123</v>
      </c>
      <c r="H60" t="s">
        <v>620</v>
      </c>
      <c r="I60">
        <v>1</v>
      </c>
      <c r="J60" t="s">
        <v>25</v>
      </c>
      <c r="K60" t="s">
        <v>124</v>
      </c>
      <c r="L60" t="s">
        <v>125</v>
      </c>
      <c r="M60" t="s">
        <v>26</v>
      </c>
      <c r="O60" t="s">
        <v>35</v>
      </c>
      <c r="T60">
        <v>2</v>
      </c>
      <c r="V60">
        <f t="shared" si="5"/>
        <v>0</v>
      </c>
      <c r="X60" s="4" t="str">
        <f t="shared" si="6"/>
        <v>geen data</v>
      </c>
      <c r="Z60" s="4" t="str">
        <f t="shared" si="7"/>
        <v>geen data</v>
      </c>
      <c r="AB60">
        <v>2012</v>
      </c>
      <c r="AF60" s="6" t="s">
        <v>126</v>
      </c>
      <c r="AG60" s="15" t="s">
        <v>127</v>
      </c>
    </row>
    <row r="61" spans="1:54" s="4" customFormat="1" x14ac:dyDescent="0.2">
      <c r="A61" s="4" t="s">
        <v>128</v>
      </c>
      <c r="B61" s="4">
        <v>0</v>
      </c>
      <c r="C61" s="4" t="s">
        <v>128</v>
      </c>
      <c r="D61" s="4" t="s">
        <v>128</v>
      </c>
      <c r="V61" t="str">
        <f t="shared" si="5"/>
        <v>geen data</v>
      </c>
      <c r="X61" s="4" t="str">
        <f t="shared" si="6"/>
        <v>geen data</v>
      </c>
      <c r="Z61" s="4" t="str">
        <f t="shared" si="7"/>
        <v>geen data</v>
      </c>
      <c r="AG61" s="4" t="s">
        <v>18</v>
      </c>
      <c r="AJ61" s="22"/>
      <c r="AK61" s="22"/>
      <c r="AL61" s="22"/>
      <c r="AM61" s="22"/>
      <c r="AN61" s="22"/>
      <c r="AO61" s="22"/>
      <c r="AP61" s="22"/>
      <c r="AQ61" s="22"/>
      <c r="AR61" s="22"/>
      <c r="AS61" s="22"/>
      <c r="AT61" s="22"/>
      <c r="AU61" s="22"/>
      <c r="AV61" s="22"/>
      <c r="AW61" s="22"/>
      <c r="AX61" s="22"/>
      <c r="AY61" s="22"/>
      <c r="AZ61" s="22"/>
      <c r="BA61" s="22"/>
      <c r="BB61" s="22"/>
    </row>
    <row r="62" spans="1:54" s="5" customFormat="1" x14ac:dyDescent="0.2">
      <c r="A62" s="5" t="s">
        <v>129</v>
      </c>
      <c r="B62" s="5">
        <v>0</v>
      </c>
      <c r="C62" s="5" t="s">
        <v>129</v>
      </c>
      <c r="D62" s="5" t="s">
        <v>129</v>
      </c>
      <c r="F62" t="s">
        <v>592</v>
      </c>
      <c r="H62" s="5" t="s">
        <v>619</v>
      </c>
      <c r="I62" s="5">
        <v>1</v>
      </c>
      <c r="J62" t="s">
        <v>25</v>
      </c>
      <c r="K62"/>
      <c r="L62"/>
      <c r="M62" s="5" t="s">
        <v>39</v>
      </c>
      <c r="O62" s="5" t="s">
        <v>35</v>
      </c>
      <c r="V62" t="str">
        <f t="shared" si="5"/>
        <v>geen data</v>
      </c>
      <c r="X62" s="4" t="str">
        <f t="shared" si="6"/>
        <v>geen data</v>
      </c>
      <c r="Z62" s="4" t="str">
        <f t="shared" si="7"/>
        <v>geen data</v>
      </c>
      <c r="AB62" s="5" t="s">
        <v>60</v>
      </c>
      <c r="AF62" s="19" t="s">
        <v>130</v>
      </c>
      <c r="AG62" s="5" t="s">
        <v>131</v>
      </c>
      <c r="AJ62" s="28"/>
      <c r="AK62" s="28"/>
      <c r="AL62" s="28"/>
      <c r="AM62" s="28"/>
      <c r="AN62" s="28"/>
      <c r="AO62" s="28"/>
      <c r="AP62" s="28"/>
      <c r="AQ62" s="28"/>
      <c r="AR62" s="28"/>
      <c r="AS62" s="28"/>
      <c r="AT62" s="28"/>
      <c r="AU62" s="28"/>
      <c r="AV62" s="28"/>
      <c r="AW62" s="28"/>
      <c r="AX62" s="28"/>
      <c r="AY62" s="28"/>
      <c r="AZ62" s="28"/>
      <c r="BA62" s="28"/>
      <c r="BB62" s="28"/>
    </row>
    <row r="63" spans="1:54" x14ac:dyDescent="0.2">
      <c r="A63" t="s">
        <v>132</v>
      </c>
      <c r="B63" s="4">
        <v>0</v>
      </c>
      <c r="C63" t="s">
        <v>132</v>
      </c>
      <c r="D63" t="s">
        <v>132</v>
      </c>
      <c r="E63" t="s">
        <v>595</v>
      </c>
      <c r="F63" t="s">
        <v>594</v>
      </c>
      <c r="H63" t="s">
        <v>8</v>
      </c>
      <c r="I63">
        <v>1</v>
      </c>
      <c r="J63" t="s">
        <v>25</v>
      </c>
      <c r="M63" t="s">
        <v>39</v>
      </c>
      <c r="O63" t="s">
        <v>35</v>
      </c>
      <c r="V63" t="str">
        <f t="shared" si="5"/>
        <v>geen data</v>
      </c>
      <c r="X63" s="4" t="str">
        <f t="shared" si="6"/>
        <v>geen data</v>
      </c>
      <c r="Y63">
        <v>1.5</v>
      </c>
      <c r="Z63" s="4">
        <f t="shared" si="7"/>
        <v>0</v>
      </c>
      <c r="AB63" t="s">
        <v>60</v>
      </c>
      <c r="AF63" s="6" t="s">
        <v>133</v>
      </c>
      <c r="AG63" t="s">
        <v>134</v>
      </c>
    </row>
    <row r="64" spans="1:54" x14ac:dyDescent="0.2">
      <c r="A64" t="s">
        <v>132</v>
      </c>
      <c r="B64" t="s">
        <v>576</v>
      </c>
      <c r="C64" t="s">
        <v>132</v>
      </c>
      <c r="D64" t="s">
        <v>292</v>
      </c>
      <c r="F64" t="s">
        <v>593</v>
      </c>
      <c r="H64" t="s">
        <v>618</v>
      </c>
      <c r="I64">
        <v>1</v>
      </c>
    </row>
    <row r="65" spans="1:54" x14ac:dyDescent="0.2">
      <c r="A65" t="s">
        <v>789</v>
      </c>
      <c r="B65" s="4">
        <v>1</v>
      </c>
      <c r="C65" s="4" t="s">
        <v>135</v>
      </c>
      <c r="D65" t="s">
        <v>789</v>
      </c>
      <c r="H65" t="s">
        <v>619</v>
      </c>
      <c r="I65">
        <v>2</v>
      </c>
      <c r="J65" t="s">
        <v>25</v>
      </c>
      <c r="K65" s="32" t="s">
        <v>778</v>
      </c>
      <c r="M65" t="s">
        <v>39</v>
      </c>
      <c r="O65" t="s">
        <v>35</v>
      </c>
      <c r="Q65">
        <v>1</v>
      </c>
      <c r="S65">
        <v>5</v>
      </c>
      <c r="Y65">
        <v>0.3</v>
      </c>
      <c r="AD65" t="s">
        <v>779</v>
      </c>
      <c r="AE65" t="s">
        <v>779</v>
      </c>
    </row>
    <row r="66" spans="1:54" ht="15" customHeight="1" x14ac:dyDescent="0.2">
      <c r="A66" s="2" t="s">
        <v>137</v>
      </c>
      <c r="B66" s="4">
        <v>1</v>
      </c>
      <c r="C66" s="4" t="s">
        <v>135</v>
      </c>
      <c r="D66" s="2" t="s">
        <v>137</v>
      </c>
      <c r="E66" s="2"/>
      <c r="G66" s="2"/>
      <c r="H66" t="s">
        <v>619</v>
      </c>
      <c r="I66" s="2"/>
      <c r="J66" t="s">
        <v>25</v>
      </c>
      <c r="M66" s="2" t="s">
        <v>26</v>
      </c>
      <c r="O66" t="s">
        <v>35</v>
      </c>
      <c r="T66">
        <v>4</v>
      </c>
      <c r="V66">
        <f t="shared" ref="V66:V86" si="8">IF(NOT(ISBLANK(T66)), IF(T66&gt;=AVERAGE($T$2:$T$125), 1, 0), IF(NOT(ISBLANK(U66)), IF(U66&gt;=AVERAGE($U$2:$U$125), 1, 0), "geen data"))</f>
        <v>0</v>
      </c>
      <c r="W66">
        <v>0.3</v>
      </c>
      <c r="X66" s="4">
        <f t="shared" ref="X66:X86" si="9">IF(ISBLANK(W66), "geen data", IF(W66&lt;=AVERAGE($W$2:$W$125), 1, 0))</f>
        <v>0</v>
      </c>
      <c r="Y66">
        <v>0.08</v>
      </c>
      <c r="Z66" s="4">
        <f t="shared" ref="Z66:Z71" si="10">IF(ISBLANK(Y66), "geen data", IF(Y66&lt;=AVERAGE($Y$2:$Y$125), 1, 0))</f>
        <v>1</v>
      </c>
      <c r="AB66">
        <v>2023</v>
      </c>
      <c r="AD66" s="6" t="s">
        <v>138</v>
      </c>
      <c r="AE66" s="6"/>
      <c r="AF66" s="6" t="s">
        <v>761</v>
      </c>
      <c r="AG66" s="13" t="s">
        <v>139</v>
      </c>
    </row>
    <row r="67" spans="1:54" ht="15.75" customHeight="1" x14ac:dyDescent="0.2">
      <c r="A67" s="2" t="s">
        <v>140</v>
      </c>
      <c r="B67" s="4">
        <v>1</v>
      </c>
      <c r="C67" s="4" t="s">
        <v>135</v>
      </c>
      <c r="D67" s="2" t="s">
        <v>140</v>
      </c>
      <c r="E67" s="2"/>
      <c r="G67" s="2"/>
      <c r="H67" t="s">
        <v>619</v>
      </c>
      <c r="I67" s="2"/>
      <c r="J67" t="s">
        <v>25</v>
      </c>
      <c r="M67" s="2" t="s">
        <v>26</v>
      </c>
      <c r="O67" t="s">
        <v>35</v>
      </c>
      <c r="V67" t="str">
        <f t="shared" si="8"/>
        <v>geen data</v>
      </c>
      <c r="X67" s="4" t="str">
        <f t="shared" si="9"/>
        <v>geen data</v>
      </c>
      <c r="Z67" s="4" t="str">
        <f t="shared" si="10"/>
        <v>geen data</v>
      </c>
      <c r="AB67">
        <v>2014</v>
      </c>
      <c r="AF67" t="s">
        <v>141</v>
      </c>
      <c r="AG67" s="13" t="s">
        <v>37</v>
      </c>
    </row>
    <row r="68" spans="1:54" ht="21" customHeight="1" x14ac:dyDescent="0.2">
      <c r="A68" s="2" t="s">
        <v>142</v>
      </c>
      <c r="B68" s="4">
        <v>1</v>
      </c>
      <c r="C68" s="4" t="s">
        <v>135</v>
      </c>
      <c r="D68" s="2" t="s">
        <v>142</v>
      </c>
      <c r="E68" s="2"/>
      <c r="G68" s="2"/>
      <c r="H68" t="s">
        <v>619</v>
      </c>
      <c r="I68" s="2"/>
      <c r="J68" t="s">
        <v>25</v>
      </c>
      <c r="M68" s="2" t="s">
        <v>39</v>
      </c>
      <c r="O68" t="s">
        <v>35</v>
      </c>
      <c r="V68" t="str">
        <f t="shared" si="8"/>
        <v>geen data</v>
      </c>
      <c r="X68" s="4" t="str">
        <f t="shared" si="9"/>
        <v>geen data</v>
      </c>
      <c r="Z68" s="4" t="str">
        <f t="shared" si="10"/>
        <v>geen data</v>
      </c>
      <c r="AA68">
        <v>2008</v>
      </c>
      <c r="AB68">
        <v>2010</v>
      </c>
      <c r="AF68" t="s">
        <v>760</v>
      </c>
      <c r="AG68" s="13" t="s">
        <v>759</v>
      </c>
    </row>
    <row r="69" spans="1:54" s="4" customFormat="1" x14ac:dyDescent="0.2">
      <c r="A69" s="4" t="s">
        <v>135</v>
      </c>
      <c r="B69" s="4">
        <v>0</v>
      </c>
      <c r="C69" s="4" t="s">
        <v>135</v>
      </c>
      <c r="D69" s="4" t="s">
        <v>135</v>
      </c>
      <c r="G69" s="4" t="s">
        <v>758</v>
      </c>
      <c r="J69" t="s">
        <v>25</v>
      </c>
      <c r="K69"/>
      <c r="L69"/>
      <c r="M69" t="s">
        <v>39</v>
      </c>
      <c r="O69" s="4" t="s">
        <v>35</v>
      </c>
      <c r="P69" s="4">
        <v>1</v>
      </c>
      <c r="Q69" s="4">
        <v>1</v>
      </c>
      <c r="T69" s="4">
        <v>10</v>
      </c>
      <c r="V69">
        <f t="shared" si="8"/>
        <v>1</v>
      </c>
      <c r="X69" s="4" t="str">
        <f t="shared" si="9"/>
        <v>geen data</v>
      </c>
      <c r="Z69" s="4" t="str">
        <f t="shared" si="10"/>
        <v>geen data</v>
      </c>
      <c r="AA69" s="4">
        <v>2026</v>
      </c>
      <c r="AB69" s="4" t="s">
        <v>651</v>
      </c>
      <c r="AD69" s="20" t="s">
        <v>136</v>
      </c>
      <c r="AE69" s="20"/>
      <c r="AF69" s="4" t="s">
        <v>757</v>
      </c>
      <c r="AG69" s="4" t="s">
        <v>143</v>
      </c>
      <c r="AJ69" s="22"/>
      <c r="AK69" s="22"/>
      <c r="AL69" s="22"/>
      <c r="AM69" s="22"/>
      <c r="AN69" s="22"/>
      <c r="AO69" s="22"/>
      <c r="AP69" s="22"/>
      <c r="AQ69" s="22"/>
      <c r="AR69" s="22"/>
      <c r="AS69" s="22"/>
      <c r="AT69" s="22"/>
      <c r="AU69" s="22"/>
      <c r="AV69" s="22"/>
      <c r="AW69" s="22"/>
      <c r="AX69" s="22"/>
      <c r="AY69" s="22"/>
      <c r="AZ69" s="22"/>
      <c r="BA69" s="22"/>
      <c r="BB69" s="22"/>
    </row>
    <row r="70" spans="1:54" s="4" customFormat="1" x14ac:dyDescent="0.2">
      <c r="A70" s="4" t="s">
        <v>144</v>
      </c>
      <c r="B70" s="4">
        <v>0</v>
      </c>
      <c r="C70" s="4" t="s">
        <v>144</v>
      </c>
      <c r="D70" s="4" t="s">
        <v>144</v>
      </c>
      <c r="V70" t="str">
        <f t="shared" si="8"/>
        <v>geen data</v>
      </c>
      <c r="X70" s="4" t="str">
        <f t="shared" si="9"/>
        <v>geen data</v>
      </c>
      <c r="Z70" s="4" t="str">
        <f t="shared" si="10"/>
        <v>geen data</v>
      </c>
      <c r="AG70" s="4" t="s">
        <v>18</v>
      </c>
      <c r="AJ70" s="22"/>
      <c r="AK70" s="22"/>
      <c r="AL70" s="22"/>
      <c r="AM70" s="22"/>
      <c r="AN70" s="22"/>
      <c r="AO70" s="22"/>
      <c r="AP70" s="22"/>
      <c r="AQ70" s="22"/>
      <c r="AR70" s="22"/>
      <c r="AS70" s="22"/>
      <c r="AT70" s="22"/>
      <c r="AU70" s="22"/>
      <c r="AV70" s="22"/>
      <c r="AW70" s="22"/>
      <c r="AX70" s="22"/>
      <c r="AY70" s="22"/>
      <c r="AZ70" s="22"/>
      <c r="BA70" s="22"/>
      <c r="BB70" s="22"/>
    </row>
    <row r="71" spans="1:54" x14ac:dyDescent="0.2">
      <c r="A71" t="s">
        <v>145</v>
      </c>
      <c r="B71" s="4">
        <v>0</v>
      </c>
      <c r="C71" t="s">
        <v>145</v>
      </c>
      <c r="D71" t="s">
        <v>145</v>
      </c>
      <c r="E71" t="s">
        <v>762</v>
      </c>
      <c r="F71" t="s">
        <v>596</v>
      </c>
      <c r="G71" t="s">
        <v>763</v>
      </c>
      <c r="H71" t="s">
        <v>8</v>
      </c>
      <c r="I71">
        <v>1</v>
      </c>
      <c r="J71" t="s">
        <v>25</v>
      </c>
      <c r="K71" t="s">
        <v>146</v>
      </c>
      <c r="L71" t="s">
        <v>147</v>
      </c>
      <c r="M71" s="2" t="s">
        <v>338</v>
      </c>
      <c r="O71" t="s">
        <v>35</v>
      </c>
      <c r="Q71">
        <v>1</v>
      </c>
      <c r="S71">
        <v>20</v>
      </c>
      <c r="T71">
        <v>4</v>
      </c>
      <c r="V71">
        <f t="shared" si="8"/>
        <v>0</v>
      </c>
      <c r="W71">
        <v>0.36</v>
      </c>
      <c r="X71" s="4">
        <f t="shared" si="9"/>
        <v>0</v>
      </c>
      <c r="Y71">
        <v>0.12</v>
      </c>
      <c r="Z71" s="4">
        <f t="shared" si="10"/>
        <v>1</v>
      </c>
      <c r="AB71">
        <v>2019</v>
      </c>
      <c r="AE71" t="s">
        <v>765</v>
      </c>
      <c r="AF71" t="s">
        <v>148</v>
      </c>
      <c r="AG71" t="s">
        <v>149</v>
      </c>
      <c r="AH71" s="2"/>
      <c r="AI71" s="2"/>
      <c r="AK71" s="27" t="s">
        <v>275</v>
      </c>
      <c r="AL71" s="27" t="s">
        <v>280</v>
      </c>
      <c r="AN71" t="s">
        <v>282</v>
      </c>
      <c r="AP71" t="s">
        <v>279</v>
      </c>
      <c r="AU71" s="27"/>
      <c r="AW71" t="s">
        <v>283</v>
      </c>
    </row>
    <row r="72" spans="1:54" x14ac:dyDescent="0.2">
      <c r="A72" t="s">
        <v>150</v>
      </c>
      <c r="B72" s="4" t="s">
        <v>576</v>
      </c>
      <c r="C72" t="s">
        <v>145</v>
      </c>
      <c r="D72" t="s">
        <v>150</v>
      </c>
      <c r="F72" t="s">
        <v>597</v>
      </c>
      <c r="H72" t="s">
        <v>618</v>
      </c>
      <c r="I72">
        <v>1</v>
      </c>
      <c r="J72" t="s">
        <v>25</v>
      </c>
      <c r="K72" t="s">
        <v>146</v>
      </c>
      <c r="L72" t="s">
        <v>147</v>
      </c>
      <c r="M72" s="2" t="s">
        <v>26</v>
      </c>
      <c r="O72" t="s">
        <v>35</v>
      </c>
      <c r="T72">
        <v>200</v>
      </c>
      <c r="V72">
        <f t="shared" si="8"/>
        <v>1</v>
      </c>
      <c r="X72" s="4" t="str">
        <f t="shared" si="9"/>
        <v>geen data</v>
      </c>
      <c r="AB72">
        <v>2022</v>
      </c>
      <c r="AF72" t="s">
        <v>151</v>
      </c>
      <c r="AG72" t="s">
        <v>152</v>
      </c>
    </row>
    <row r="73" spans="1:54" x14ac:dyDescent="0.2">
      <c r="A73" t="s">
        <v>153</v>
      </c>
      <c r="B73" s="4">
        <v>0</v>
      </c>
      <c r="C73" t="s">
        <v>153</v>
      </c>
      <c r="D73" t="s">
        <v>153</v>
      </c>
      <c r="F73" t="s">
        <v>598</v>
      </c>
      <c r="H73" t="s">
        <v>619</v>
      </c>
      <c r="I73">
        <v>1</v>
      </c>
      <c r="J73" t="s">
        <v>25</v>
      </c>
      <c r="M73" s="2" t="s">
        <v>26</v>
      </c>
      <c r="O73" t="s">
        <v>35</v>
      </c>
      <c r="T73">
        <v>10</v>
      </c>
      <c r="V73">
        <f t="shared" si="8"/>
        <v>1</v>
      </c>
      <c r="W73">
        <v>0.2</v>
      </c>
      <c r="X73" s="4">
        <f t="shared" si="9"/>
        <v>1</v>
      </c>
      <c r="Y73">
        <v>0.1</v>
      </c>
      <c r="Z73" s="4">
        <f t="shared" ref="Z73:Z86" si="11">IF(ISBLANK(Y73), "geen data", IF(Y73&lt;=AVERAGE($Y$2:$Y$125), 1, 0))</f>
        <v>1</v>
      </c>
      <c r="AB73">
        <v>2024</v>
      </c>
      <c r="AG73" t="s">
        <v>154</v>
      </c>
      <c r="AJ73" t="s">
        <v>547</v>
      </c>
      <c r="AK73" t="s">
        <v>275</v>
      </c>
      <c r="AL73" t="s">
        <v>280</v>
      </c>
      <c r="AP73" t="s">
        <v>276</v>
      </c>
      <c r="AR73" t="s">
        <v>270</v>
      </c>
      <c r="AY73" t="s">
        <v>531</v>
      </c>
    </row>
    <row r="74" spans="1:54" x14ac:dyDescent="0.2">
      <c r="A74" t="s">
        <v>155</v>
      </c>
      <c r="B74" s="4">
        <v>0</v>
      </c>
      <c r="C74" t="s">
        <v>155</v>
      </c>
      <c r="D74" t="s">
        <v>155</v>
      </c>
      <c r="E74" s="6" t="s">
        <v>783</v>
      </c>
      <c r="F74" t="s">
        <v>599</v>
      </c>
      <c r="G74" s="4" t="s">
        <v>788</v>
      </c>
      <c r="H74" t="s">
        <v>8</v>
      </c>
      <c r="I74">
        <v>1</v>
      </c>
      <c r="J74" t="s">
        <v>25</v>
      </c>
      <c r="K74" t="s">
        <v>156</v>
      </c>
      <c r="L74" t="s">
        <v>156</v>
      </c>
      <c r="M74" s="2" t="s">
        <v>26</v>
      </c>
      <c r="N74" t="s">
        <v>786</v>
      </c>
      <c r="O74" t="s">
        <v>35</v>
      </c>
      <c r="T74">
        <v>4</v>
      </c>
      <c r="U74">
        <v>14</v>
      </c>
      <c r="V74">
        <f>IF(NOT(ISBLANK(T74)), IF(T74&gt;=AVERAGE($T$2:$T$125), 1, 0), IF(NOT(ISBLANK(U74)), IF(U74&gt;=AVERAGE($U$2:$U$125), 1, 0), "geen data"))</f>
        <v>0</v>
      </c>
      <c r="W74">
        <v>0.36</v>
      </c>
      <c r="X74" s="4">
        <f>IF(ISBLANK(W74), "geen data", IF(W74&lt;=AVERAGE($W$2:$W$125), 1, 0))</f>
        <v>0</v>
      </c>
      <c r="Y74">
        <v>0.12</v>
      </c>
      <c r="Z74" s="4">
        <f>IF(ISBLANK(Y74), "geen data", IF(Y74&lt;=AVERAGE($Y$2:$Y$125), 1, 0))</f>
        <v>1</v>
      </c>
      <c r="AA74">
        <v>2019</v>
      </c>
      <c r="AB74">
        <v>2022</v>
      </c>
      <c r="AD74" s="8" t="s">
        <v>782</v>
      </c>
      <c r="AF74" t="s">
        <v>787</v>
      </c>
      <c r="AG74" s="2" t="s">
        <v>157</v>
      </c>
      <c r="AH74" s="2"/>
      <c r="AI74" s="2"/>
      <c r="AJ74" s="27" t="s">
        <v>278</v>
      </c>
      <c r="AK74" s="27" t="s">
        <v>275</v>
      </c>
      <c r="AL74" s="27" t="s">
        <v>280</v>
      </c>
      <c r="AM74" s="27" t="s">
        <v>281</v>
      </c>
      <c r="AN74" t="s">
        <v>282</v>
      </c>
      <c r="AP74" t="s">
        <v>276</v>
      </c>
      <c r="AQ74" t="s">
        <v>274</v>
      </c>
      <c r="AR74" s="27"/>
      <c r="BB74" t="s">
        <v>548</v>
      </c>
    </row>
    <row r="75" spans="1:54" x14ac:dyDescent="0.2">
      <c r="A75" t="s">
        <v>155</v>
      </c>
      <c r="B75" s="4">
        <v>0</v>
      </c>
      <c r="C75" t="s">
        <v>155</v>
      </c>
      <c r="D75" t="s">
        <v>155</v>
      </c>
      <c r="E75" s="6" t="s">
        <v>783</v>
      </c>
      <c r="F75" t="s">
        <v>599</v>
      </c>
      <c r="H75" t="s">
        <v>8</v>
      </c>
      <c r="I75">
        <v>1</v>
      </c>
      <c r="J75" t="s">
        <v>25</v>
      </c>
      <c r="K75" t="s">
        <v>156</v>
      </c>
      <c r="L75" t="s">
        <v>156</v>
      </c>
      <c r="M75" s="2" t="s">
        <v>26</v>
      </c>
      <c r="O75" t="s">
        <v>35</v>
      </c>
      <c r="T75">
        <v>4</v>
      </c>
      <c r="U75">
        <v>14</v>
      </c>
      <c r="V75">
        <f>IF(NOT(ISBLANK(T75)), IF(T75&gt;=AVERAGE($T$2:$T$125), 1, 0), IF(NOT(ISBLANK(U75)), IF(U75&gt;=AVERAGE($U$2:$U$125), 1, 0), "geen data"))</f>
        <v>0</v>
      </c>
      <c r="W75">
        <v>0.36</v>
      </c>
      <c r="X75" s="4">
        <f>IF(ISBLANK(W75), "geen data", IF(W75&lt;=AVERAGE($W$2:$W$125), 1, 0))</f>
        <v>0</v>
      </c>
      <c r="Y75">
        <v>0.12</v>
      </c>
      <c r="Z75" s="4">
        <f>IF(ISBLANK(Y75), "geen data", IF(Y75&lt;=AVERAGE($Y$2:$Y$125), 1, 0))</f>
        <v>1</v>
      </c>
      <c r="AA75">
        <v>2025</v>
      </c>
      <c r="AD75" t="s">
        <v>784</v>
      </c>
      <c r="AF75" s="8" t="s">
        <v>785</v>
      </c>
      <c r="AG75" s="2" t="s">
        <v>157</v>
      </c>
      <c r="AH75" s="2"/>
      <c r="AI75" s="2"/>
      <c r="AJ75" s="27" t="s">
        <v>278</v>
      </c>
      <c r="AK75" s="27" t="s">
        <v>275</v>
      </c>
      <c r="AL75" s="27" t="s">
        <v>280</v>
      </c>
      <c r="AM75" s="27" t="s">
        <v>281</v>
      </c>
      <c r="AN75" t="s">
        <v>282</v>
      </c>
      <c r="AP75" t="s">
        <v>276</v>
      </c>
      <c r="AQ75" t="s">
        <v>274</v>
      </c>
      <c r="AR75" s="27"/>
      <c r="BB75" t="s">
        <v>548</v>
      </c>
    </row>
    <row r="76" spans="1:54" x14ac:dyDescent="0.2">
      <c r="A76" t="s">
        <v>158</v>
      </c>
      <c r="B76" s="4">
        <v>0</v>
      </c>
      <c r="C76" t="s">
        <v>158</v>
      </c>
      <c r="D76" t="s">
        <v>158</v>
      </c>
      <c r="F76" t="s">
        <v>600</v>
      </c>
      <c r="H76" t="s">
        <v>8</v>
      </c>
      <c r="I76">
        <v>1</v>
      </c>
      <c r="J76" t="s">
        <v>25</v>
      </c>
      <c r="K76" t="s">
        <v>159</v>
      </c>
      <c r="M76" s="2" t="s">
        <v>26</v>
      </c>
      <c r="O76" t="s">
        <v>35</v>
      </c>
      <c r="T76">
        <v>15</v>
      </c>
      <c r="V76">
        <f t="shared" si="8"/>
        <v>1</v>
      </c>
      <c r="W76">
        <v>0.03</v>
      </c>
      <c r="X76" s="4">
        <f t="shared" si="9"/>
        <v>1</v>
      </c>
      <c r="Y76">
        <v>0.06</v>
      </c>
      <c r="Z76" s="4">
        <f t="shared" si="11"/>
        <v>1</v>
      </c>
      <c r="AB76">
        <v>2024</v>
      </c>
      <c r="AF76" t="s">
        <v>160</v>
      </c>
      <c r="AG76" s="2" t="s">
        <v>161</v>
      </c>
      <c r="AH76" s="2"/>
      <c r="AI76" s="2"/>
      <c r="AJ76" s="27" t="s">
        <v>278</v>
      </c>
      <c r="AK76" s="27" t="s">
        <v>275</v>
      </c>
      <c r="AL76" s="27" t="s">
        <v>280</v>
      </c>
      <c r="AM76" s="27" t="s">
        <v>281</v>
      </c>
      <c r="AN76" t="s">
        <v>282</v>
      </c>
      <c r="AO76" s="27"/>
      <c r="AP76" t="s">
        <v>279</v>
      </c>
      <c r="AQ76" t="s">
        <v>533</v>
      </c>
      <c r="AR76" t="s">
        <v>270</v>
      </c>
      <c r="AS76" s="27"/>
      <c r="AU76" s="27" t="s">
        <v>287</v>
      </c>
      <c r="AV76" t="s">
        <v>288</v>
      </c>
      <c r="AW76" t="s">
        <v>289</v>
      </c>
    </row>
    <row r="77" spans="1:54" x14ac:dyDescent="0.2">
      <c r="A77" t="s">
        <v>162</v>
      </c>
      <c r="B77" s="4">
        <v>0</v>
      </c>
      <c r="C77" t="s">
        <v>162</v>
      </c>
      <c r="D77" t="s">
        <v>162</v>
      </c>
      <c r="F77" t="s">
        <v>601</v>
      </c>
      <c r="H77" t="s">
        <v>8</v>
      </c>
      <c r="I77">
        <v>1</v>
      </c>
      <c r="J77" t="s">
        <v>25</v>
      </c>
      <c r="K77" t="s">
        <v>163</v>
      </c>
      <c r="M77" s="2" t="s">
        <v>26</v>
      </c>
      <c r="O77" t="s">
        <v>35</v>
      </c>
      <c r="U77">
        <v>40</v>
      </c>
      <c r="V77">
        <f t="shared" si="8"/>
        <v>1</v>
      </c>
      <c r="X77" s="4" t="str">
        <f t="shared" si="9"/>
        <v>geen data</v>
      </c>
      <c r="Y77">
        <v>0.11600000000000001</v>
      </c>
      <c r="Z77" s="4">
        <f t="shared" si="11"/>
        <v>1</v>
      </c>
      <c r="AB77">
        <v>2018</v>
      </c>
      <c r="AF77" t="s">
        <v>164</v>
      </c>
      <c r="AG77" s="2" t="s">
        <v>165</v>
      </c>
      <c r="AH77" s="2"/>
      <c r="AI77" s="2"/>
      <c r="AJ77" s="27" t="s">
        <v>278</v>
      </c>
      <c r="AK77" s="27" t="s">
        <v>275</v>
      </c>
      <c r="AL77" s="27" t="s">
        <v>280</v>
      </c>
      <c r="AM77" s="27" t="s">
        <v>281</v>
      </c>
      <c r="AN77" t="s">
        <v>282</v>
      </c>
      <c r="AO77" s="27"/>
      <c r="AP77" t="s">
        <v>279</v>
      </c>
      <c r="AQ77" t="s">
        <v>274</v>
      </c>
      <c r="AR77" t="s">
        <v>270</v>
      </c>
    </row>
    <row r="78" spans="1:54" s="4" customFormat="1" x14ac:dyDescent="0.2">
      <c r="A78" s="4" t="s">
        <v>166</v>
      </c>
      <c r="B78" s="4">
        <v>0</v>
      </c>
      <c r="C78" s="4" t="s">
        <v>166</v>
      </c>
      <c r="D78" s="4" t="s">
        <v>166</v>
      </c>
      <c r="V78" t="str">
        <f t="shared" si="8"/>
        <v>geen data</v>
      </c>
      <c r="X78" s="4" t="str">
        <f t="shared" si="9"/>
        <v>geen data</v>
      </c>
      <c r="Z78" s="4" t="str">
        <f t="shared" si="11"/>
        <v>geen data</v>
      </c>
      <c r="AG78" s="4" t="s">
        <v>18</v>
      </c>
      <c r="AJ78" s="22"/>
      <c r="AK78" s="22"/>
      <c r="AL78" s="22"/>
      <c r="AM78" s="22"/>
      <c r="AN78" s="22"/>
      <c r="AO78" s="22"/>
      <c r="AP78" s="22"/>
      <c r="AQ78" s="22"/>
      <c r="AR78" s="22"/>
      <c r="AS78" s="22"/>
      <c r="AT78" s="22"/>
      <c r="AU78" s="22"/>
      <c r="AV78" s="22"/>
      <c r="AW78" s="22"/>
      <c r="AX78" s="22"/>
      <c r="AY78" s="22"/>
      <c r="AZ78" s="22"/>
      <c r="BA78" s="22"/>
      <c r="BB78" s="22"/>
    </row>
    <row r="79" spans="1:54" s="4" customFormat="1" x14ac:dyDescent="0.2">
      <c r="A79" s="4" t="s">
        <v>167</v>
      </c>
      <c r="B79" s="4">
        <v>0</v>
      </c>
      <c r="C79" s="4" t="s">
        <v>167</v>
      </c>
      <c r="D79" s="4" t="s">
        <v>167</v>
      </c>
      <c r="V79" t="str">
        <f t="shared" si="8"/>
        <v>geen data</v>
      </c>
      <c r="X79" s="4" t="str">
        <f t="shared" si="9"/>
        <v>geen data</v>
      </c>
      <c r="Z79" s="4" t="str">
        <f t="shared" si="11"/>
        <v>geen data</v>
      </c>
      <c r="AG79" s="4" t="s">
        <v>18</v>
      </c>
      <c r="AJ79" s="22"/>
      <c r="AK79" s="22"/>
      <c r="AL79" s="22"/>
      <c r="AM79" s="22"/>
      <c r="AN79" s="22"/>
      <c r="AO79" s="22"/>
      <c r="AP79" s="22"/>
      <c r="AQ79" s="22"/>
      <c r="AR79" s="22"/>
      <c r="AS79" s="22"/>
      <c r="AT79" s="22"/>
      <c r="AU79" s="22"/>
      <c r="AV79" s="22"/>
      <c r="AW79" s="22"/>
      <c r="AX79" s="22"/>
      <c r="AY79" s="22"/>
      <c r="AZ79" s="22"/>
      <c r="BA79" s="22"/>
      <c r="BB79" s="22"/>
    </row>
    <row r="80" spans="1:54" s="4" customFormat="1" x14ac:dyDescent="0.2">
      <c r="A80" s="4" t="s">
        <v>168</v>
      </c>
      <c r="B80" s="4">
        <v>0</v>
      </c>
      <c r="C80" s="4" t="s">
        <v>168</v>
      </c>
      <c r="D80" s="4" t="s">
        <v>168</v>
      </c>
      <c r="V80" t="str">
        <f t="shared" si="8"/>
        <v>geen data</v>
      </c>
      <c r="X80" s="4" t="str">
        <f t="shared" si="9"/>
        <v>geen data</v>
      </c>
      <c r="Z80" s="4" t="str">
        <f t="shared" si="11"/>
        <v>geen data</v>
      </c>
      <c r="AG80" s="4" t="s">
        <v>18</v>
      </c>
      <c r="AJ80" s="22"/>
      <c r="AK80" s="22"/>
      <c r="AL80" s="22"/>
      <c r="AM80" s="22"/>
      <c r="AN80" s="22"/>
      <c r="AO80" s="22"/>
      <c r="AP80" s="22"/>
      <c r="AQ80" s="22"/>
      <c r="AR80" s="22"/>
      <c r="AS80" s="22"/>
      <c r="AT80" s="22"/>
      <c r="AU80" s="22"/>
      <c r="AV80" s="22"/>
      <c r="AW80" s="22"/>
      <c r="AX80" s="22"/>
      <c r="AY80" s="22"/>
      <c r="AZ80" s="22"/>
      <c r="BA80" s="22"/>
      <c r="BB80" s="22"/>
    </row>
    <row r="81" spans="1:59" ht="16.5" customHeight="1" x14ac:dyDescent="0.2">
      <c r="A81" t="s">
        <v>169</v>
      </c>
      <c r="B81" s="4">
        <v>0</v>
      </c>
      <c r="C81" t="s">
        <v>169</v>
      </c>
      <c r="D81" t="s">
        <v>169</v>
      </c>
      <c r="E81" t="s">
        <v>361</v>
      </c>
      <c r="F81" t="s">
        <v>369</v>
      </c>
      <c r="G81" t="s">
        <v>315</v>
      </c>
      <c r="H81" t="s">
        <v>8</v>
      </c>
      <c r="I81">
        <v>2</v>
      </c>
      <c r="J81" t="s">
        <v>3</v>
      </c>
      <c r="K81" t="s">
        <v>170</v>
      </c>
      <c r="L81" t="s">
        <v>170</v>
      </c>
      <c r="M81" t="s">
        <v>338</v>
      </c>
      <c r="N81" t="s">
        <v>700</v>
      </c>
      <c r="O81" t="s">
        <v>35</v>
      </c>
      <c r="P81">
        <v>1</v>
      </c>
      <c r="Q81">
        <v>1</v>
      </c>
      <c r="R81" t="s">
        <v>348</v>
      </c>
      <c r="S81" t="s">
        <v>348</v>
      </c>
      <c r="T81">
        <v>6</v>
      </c>
      <c r="U81">
        <v>10</v>
      </c>
      <c r="V81">
        <f t="shared" si="8"/>
        <v>0</v>
      </c>
      <c r="W81">
        <v>0.13</v>
      </c>
      <c r="X81" s="4">
        <f t="shared" si="9"/>
        <v>1</v>
      </c>
      <c r="Y81">
        <v>0.08</v>
      </c>
      <c r="Z81" s="4">
        <f t="shared" si="11"/>
        <v>1</v>
      </c>
      <c r="AA81">
        <v>2008</v>
      </c>
      <c r="AB81">
        <v>2012</v>
      </c>
      <c r="AD81" t="s">
        <v>695</v>
      </c>
      <c r="AF81" t="s">
        <v>171</v>
      </c>
      <c r="AG81" s="15" t="s">
        <v>172</v>
      </c>
      <c r="AK81" t="s">
        <v>549</v>
      </c>
      <c r="AL81" s="27"/>
      <c r="AP81" t="s">
        <v>279</v>
      </c>
      <c r="AR81" t="s">
        <v>270</v>
      </c>
      <c r="AT81" s="27"/>
      <c r="AV81" t="s">
        <v>550</v>
      </c>
      <c r="BB81" t="s">
        <v>551</v>
      </c>
      <c r="BE81" s="27"/>
    </row>
    <row r="82" spans="1:59" ht="16.5" customHeight="1" x14ac:dyDescent="0.2">
      <c r="A82" t="s">
        <v>169</v>
      </c>
      <c r="B82" s="4">
        <v>0</v>
      </c>
      <c r="C82" t="s">
        <v>169</v>
      </c>
      <c r="D82" t="s">
        <v>169</v>
      </c>
      <c r="E82" t="s">
        <v>361</v>
      </c>
      <c r="F82" t="s">
        <v>370</v>
      </c>
      <c r="G82" t="s">
        <v>315</v>
      </c>
      <c r="H82" t="s">
        <v>8</v>
      </c>
      <c r="I82">
        <v>3</v>
      </c>
      <c r="J82" t="s">
        <v>3</v>
      </c>
      <c r="K82" t="s">
        <v>170</v>
      </c>
      <c r="L82" t="s">
        <v>170</v>
      </c>
      <c r="M82" t="s">
        <v>338</v>
      </c>
      <c r="N82" t="s">
        <v>700</v>
      </c>
      <c r="O82" t="s">
        <v>35</v>
      </c>
      <c r="P82">
        <v>1</v>
      </c>
      <c r="Q82">
        <v>1</v>
      </c>
      <c r="R82" t="s">
        <v>348</v>
      </c>
      <c r="S82" t="s">
        <v>348</v>
      </c>
      <c r="T82">
        <v>6</v>
      </c>
      <c r="U82">
        <v>10</v>
      </c>
      <c r="V82">
        <f t="shared" si="8"/>
        <v>0</v>
      </c>
      <c r="W82">
        <v>0.13</v>
      </c>
      <c r="X82" s="4">
        <f t="shared" si="9"/>
        <v>1</v>
      </c>
      <c r="Y82">
        <v>0.08</v>
      </c>
      <c r="Z82" s="4">
        <f t="shared" si="11"/>
        <v>1</v>
      </c>
      <c r="AA82">
        <v>2014</v>
      </c>
      <c r="AB82">
        <v>2019</v>
      </c>
      <c r="AD82" t="s">
        <v>691</v>
      </c>
      <c r="AF82" t="s">
        <v>171</v>
      </c>
      <c r="AG82" s="15" t="s">
        <v>172</v>
      </c>
      <c r="AK82" t="s">
        <v>549</v>
      </c>
      <c r="AL82" s="27"/>
      <c r="AP82" t="s">
        <v>279</v>
      </c>
      <c r="AR82" t="s">
        <v>270</v>
      </c>
      <c r="AT82" s="27"/>
      <c r="AV82" t="s">
        <v>550</v>
      </c>
      <c r="BB82" t="s">
        <v>551</v>
      </c>
      <c r="BE82" s="27"/>
    </row>
    <row r="83" spans="1:59" ht="16.5" customHeight="1" x14ac:dyDescent="0.2">
      <c r="A83" t="s">
        <v>169</v>
      </c>
      <c r="B83" s="4">
        <v>0</v>
      </c>
      <c r="C83" t="s">
        <v>169</v>
      </c>
      <c r="D83" t="s">
        <v>169</v>
      </c>
      <c r="E83" t="s">
        <v>361</v>
      </c>
      <c r="F83" t="s">
        <v>371</v>
      </c>
      <c r="G83" t="s">
        <v>315</v>
      </c>
      <c r="H83" t="s">
        <v>8</v>
      </c>
      <c r="I83">
        <v>4</v>
      </c>
      <c r="J83" t="s">
        <v>3</v>
      </c>
      <c r="K83" t="s">
        <v>170</v>
      </c>
      <c r="L83" t="s">
        <v>170</v>
      </c>
      <c r="M83" t="s">
        <v>338</v>
      </c>
      <c r="N83" t="s">
        <v>700</v>
      </c>
      <c r="O83" t="s">
        <v>35</v>
      </c>
      <c r="P83">
        <v>1</v>
      </c>
      <c r="Q83">
        <v>1</v>
      </c>
      <c r="R83" t="s">
        <v>348</v>
      </c>
      <c r="S83" t="s">
        <v>348</v>
      </c>
      <c r="T83">
        <v>10</v>
      </c>
      <c r="U83">
        <v>14</v>
      </c>
      <c r="V83">
        <f t="shared" si="8"/>
        <v>1</v>
      </c>
      <c r="W83">
        <v>0.13</v>
      </c>
      <c r="X83" s="4">
        <f t="shared" si="9"/>
        <v>1</v>
      </c>
      <c r="Y83">
        <v>0.08</v>
      </c>
      <c r="Z83" s="4">
        <f t="shared" si="11"/>
        <v>1</v>
      </c>
      <c r="AA83">
        <v>2020</v>
      </c>
      <c r="AB83">
        <v>2023</v>
      </c>
      <c r="AD83" t="s">
        <v>692</v>
      </c>
      <c r="AF83" t="s">
        <v>171</v>
      </c>
      <c r="AG83" s="15" t="s">
        <v>172</v>
      </c>
      <c r="AK83" t="s">
        <v>549</v>
      </c>
      <c r="AL83" s="27"/>
      <c r="AP83" t="s">
        <v>279</v>
      </c>
      <c r="AR83" t="s">
        <v>270</v>
      </c>
      <c r="AT83" s="27"/>
      <c r="AV83" t="s">
        <v>550</v>
      </c>
      <c r="BB83" t="s">
        <v>551</v>
      </c>
      <c r="BE83" s="27"/>
    </row>
    <row r="84" spans="1:59" ht="16.5" customHeight="1" x14ac:dyDescent="0.2">
      <c r="A84" t="s">
        <v>169</v>
      </c>
      <c r="B84" s="4">
        <v>0</v>
      </c>
      <c r="C84" t="s">
        <v>169</v>
      </c>
      <c r="D84" t="s">
        <v>169</v>
      </c>
      <c r="E84" t="s">
        <v>361</v>
      </c>
      <c r="F84" t="s">
        <v>372</v>
      </c>
      <c r="G84" t="s">
        <v>315</v>
      </c>
      <c r="H84" t="s">
        <v>8</v>
      </c>
      <c r="I84">
        <v>5</v>
      </c>
      <c r="J84" t="s">
        <v>3</v>
      </c>
      <c r="K84" t="s">
        <v>170</v>
      </c>
      <c r="L84" t="s">
        <v>170</v>
      </c>
      <c r="M84" t="s">
        <v>338</v>
      </c>
      <c r="N84" t="s">
        <v>700</v>
      </c>
      <c r="O84" t="s">
        <v>35</v>
      </c>
      <c r="P84">
        <v>1</v>
      </c>
      <c r="Q84">
        <v>1</v>
      </c>
      <c r="R84" t="s">
        <v>348</v>
      </c>
      <c r="S84" t="s">
        <v>348</v>
      </c>
      <c r="T84">
        <v>10</v>
      </c>
      <c r="U84">
        <v>14</v>
      </c>
      <c r="V84">
        <f t="shared" si="8"/>
        <v>1</v>
      </c>
      <c r="W84">
        <v>0.13</v>
      </c>
      <c r="X84" s="4">
        <f t="shared" si="9"/>
        <v>1</v>
      </c>
      <c r="Y84">
        <v>0.08</v>
      </c>
      <c r="Z84" s="4">
        <f t="shared" si="11"/>
        <v>1</v>
      </c>
      <c r="AA84">
        <v>2023</v>
      </c>
      <c r="AB84">
        <v>2024</v>
      </c>
      <c r="AD84" t="s">
        <v>693</v>
      </c>
      <c r="AF84" t="s">
        <v>171</v>
      </c>
      <c r="AG84" s="15" t="s">
        <v>172</v>
      </c>
      <c r="AK84" t="s">
        <v>549</v>
      </c>
      <c r="AL84" s="27"/>
      <c r="AP84" t="s">
        <v>279</v>
      </c>
      <c r="AR84" t="s">
        <v>270</v>
      </c>
      <c r="AT84" s="27"/>
      <c r="AV84" t="s">
        <v>550</v>
      </c>
      <c r="BB84" t="s">
        <v>551</v>
      </c>
      <c r="BE84" s="27"/>
    </row>
    <row r="85" spans="1:59" ht="16.5" customHeight="1" x14ac:dyDescent="0.2">
      <c r="A85" t="s">
        <v>169</v>
      </c>
      <c r="B85" s="4">
        <v>0</v>
      </c>
      <c r="C85" t="s">
        <v>169</v>
      </c>
      <c r="D85" t="s">
        <v>169</v>
      </c>
      <c r="E85" t="s">
        <v>361</v>
      </c>
      <c r="F85" t="s">
        <v>373</v>
      </c>
      <c r="G85" t="s">
        <v>315</v>
      </c>
      <c r="H85" t="s">
        <v>8</v>
      </c>
      <c r="I85">
        <v>1</v>
      </c>
      <c r="J85" t="s">
        <v>3</v>
      </c>
      <c r="K85" t="s">
        <v>170</v>
      </c>
      <c r="L85" t="s">
        <v>170</v>
      </c>
      <c r="M85" t="s">
        <v>338</v>
      </c>
      <c r="N85" t="s">
        <v>700</v>
      </c>
      <c r="O85" t="s">
        <v>35</v>
      </c>
      <c r="P85">
        <v>1</v>
      </c>
      <c r="Q85">
        <v>1</v>
      </c>
      <c r="R85" t="s">
        <v>348</v>
      </c>
      <c r="S85" t="s">
        <v>348</v>
      </c>
      <c r="T85">
        <v>10</v>
      </c>
      <c r="U85">
        <v>14</v>
      </c>
      <c r="V85">
        <f t="shared" si="8"/>
        <v>1</v>
      </c>
      <c r="W85">
        <v>0.13</v>
      </c>
      <c r="X85" s="4">
        <f t="shared" si="9"/>
        <v>1</v>
      </c>
      <c r="Y85">
        <v>0.08</v>
      </c>
      <c r="Z85" s="4">
        <f t="shared" si="11"/>
        <v>1</v>
      </c>
      <c r="AA85">
        <v>2025</v>
      </c>
      <c r="AB85">
        <v>2027</v>
      </c>
      <c r="AD85" t="s">
        <v>694</v>
      </c>
      <c r="AF85" t="s">
        <v>171</v>
      </c>
      <c r="AG85" s="15" t="s">
        <v>172</v>
      </c>
      <c r="AK85" t="s">
        <v>549</v>
      </c>
      <c r="AL85" s="27"/>
      <c r="AP85" t="s">
        <v>279</v>
      </c>
      <c r="AR85" t="s">
        <v>270</v>
      </c>
      <c r="AT85" s="27"/>
      <c r="AV85" t="s">
        <v>550</v>
      </c>
      <c r="BB85" t="s">
        <v>551</v>
      </c>
      <c r="BE85" s="27"/>
    </row>
    <row r="86" spans="1:59" ht="16.5" customHeight="1" x14ac:dyDescent="0.2">
      <c r="A86" t="s">
        <v>169</v>
      </c>
      <c r="B86" s="4">
        <v>0</v>
      </c>
      <c r="C86" t="s">
        <v>169</v>
      </c>
      <c r="D86" t="s">
        <v>169</v>
      </c>
      <c r="E86" t="s">
        <v>374</v>
      </c>
      <c r="F86" t="s">
        <v>375</v>
      </c>
      <c r="G86" t="s">
        <v>315</v>
      </c>
      <c r="H86" t="s">
        <v>8</v>
      </c>
      <c r="I86">
        <v>1</v>
      </c>
      <c r="J86" t="s">
        <v>3</v>
      </c>
      <c r="K86" t="s">
        <v>170</v>
      </c>
      <c r="L86" t="s">
        <v>170</v>
      </c>
      <c r="M86" t="s">
        <v>39</v>
      </c>
      <c r="O86" t="s">
        <v>264</v>
      </c>
      <c r="P86">
        <v>1</v>
      </c>
      <c r="R86" t="s">
        <v>683</v>
      </c>
      <c r="U86">
        <v>25</v>
      </c>
      <c r="V86">
        <f t="shared" si="8"/>
        <v>1</v>
      </c>
      <c r="X86" s="4" t="str">
        <f t="shared" si="9"/>
        <v>geen data</v>
      </c>
      <c r="Z86" s="4" t="str">
        <f t="shared" si="11"/>
        <v>geen data</v>
      </c>
      <c r="AA86">
        <v>2018</v>
      </c>
      <c r="AB86">
        <v>2021</v>
      </c>
      <c r="AF86" t="s">
        <v>684</v>
      </c>
      <c r="AG86" s="15" t="s">
        <v>172</v>
      </c>
      <c r="AL86" s="27"/>
      <c r="AT86" s="27"/>
      <c r="BE86" s="27"/>
    </row>
    <row r="87" spans="1:59" x14ac:dyDescent="0.2">
      <c r="A87" s="4" t="s">
        <v>294</v>
      </c>
      <c r="B87" s="4" t="s">
        <v>576</v>
      </c>
      <c r="C87" t="s">
        <v>169</v>
      </c>
      <c r="D87" s="4" t="s">
        <v>294</v>
      </c>
      <c r="E87" s="4" t="s">
        <v>575</v>
      </c>
      <c r="F87" s="4" t="s">
        <v>334</v>
      </c>
      <c r="G87" t="s">
        <v>315</v>
      </c>
      <c r="H87" s="4" t="s">
        <v>621</v>
      </c>
      <c r="I87" s="4">
        <v>1</v>
      </c>
      <c r="J87" t="s">
        <v>25</v>
      </c>
      <c r="K87" t="s">
        <v>170</v>
      </c>
      <c r="L87" t="s">
        <v>170</v>
      </c>
      <c r="M87" t="s">
        <v>26</v>
      </c>
      <c r="O87" t="s">
        <v>35</v>
      </c>
      <c r="W87">
        <v>0.12</v>
      </c>
      <c r="AA87">
        <v>2018</v>
      </c>
      <c r="AB87">
        <v>2022</v>
      </c>
      <c r="AF87" s="6" t="s">
        <v>173</v>
      </c>
      <c r="AG87" s="4" t="s">
        <v>174</v>
      </c>
    </row>
    <row r="88" spans="1:59" x14ac:dyDescent="0.2">
      <c r="A88" t="s">
        <v>175</v>
      </c>
      <c r="B88" s="4">
        <v>0</v>
      </c>
      <c r="C88" t="s">
        <v>175</v>
      </c>
      <c r="D88" t="s">
        <v>175</v>
      </c>
      <c r="E88" t="s">
        <v>685</v>
      </c>
      <c r="H88" t="s">
        <v>8</v>
      </c>
      <c r="I88">
        <v>1</v>
      </c>
      <c r="J88" t="s">
        <v>25</v>
      </c>
      <c r="M88" t="s">
        <v>39</v>
      </c>
      <c r="O88" t="s">
        <v>35</v>
      </c>
      <c r="T88">
        <v>2</v>
      </c>
      <c r="U88">
        <v>5</v>
      </c>
      <c r="V88">
        <f>IF(NOT(ISBLANK(T88)), IF(T88&gt;=AVERAGE($T$2:$T$125), 1, 0), IF(NOT(ISBLANK(U88)), IF(U88&gt;=AVERAGE($U$2:$U$125), 1, 0), "geen data"))</f>
        <v>0</v>
      </c>
      <c r="X88" s="4" t="str">
        <f>IF(ISBLANK(W88), "geen data", IF(W88&lt;=AVERAGE($W$2:$W$125), 1, 0))</f>
        <v>geen data</v>
      </c>
      <c r="Z88" s="4" t="str">
        <f>IF(ISBLANK(Y88), "geen data", IF(Y88&lt;=AVERAGE($Y$2:$Y$125), 1, 0))</f>
        <v>geen data</v>
      </c>
      <c r="AA88">
        <v>2018</v>
      </c>
      <c r="AB88">
        <v>2022</v>
      </c>
      <c r="AD88" s="6" t="s">
        <v>176</v>
      </c>
      <c r="AE88" s="6"/>
      <c r="AF88" t="s">
        <v>686</v>
      </c>
      <c r="AG88" t="s">
        <v>177</v>
      </c>
    </row>
    <row r="89" spans="1:59" ht="20.25" customHeight="1" x14ac:dyDescent="0.2">
      <c r="A89" t="s">
        <v>178</v>
      </c>
      <c r="B89" s="4">
        <v>0</v>
      </c>
      <c r="C89" t="s">
        <v>178</v>
      </c>
      <c r="D89" t="s">
        <v>178</v>
      </c>
      <c r="E89" t="s">
        <v>602</v>
      </c>
      <c r="F89" t="s">
        <v>578</v>
      </c>
      <c r="H89" t="s">
        <v>8</v>
      </c>
      <c r="I89">
        <v>1</v>
      </c>
      <c r="J89" t="s">
        <v>25</v>
      </c>
      <c r="K89" s="15" t="s">
        <v>179</v>
      </c>
      <c r="L89" s="15" t="s">
        <v>179</v>
      </c>
      <c r="M89" t="s">
        <v>26</v>
      </c>
      <c r="O89" t="s">
        <v>180</v>
      </c>
      <c r="T89">
        <v>10</v>
      </c>
      <c r="V89">
        <f>IF(NOT(ISBLANK(T89)), IF(T89&gt;=AVERAGE($T$2:$T$125), 1, 0), IF(NOT(ISBLANK(U89)), IF(U89&gt;=AVERAGE($U$2:$U$125), 1, 0), "geen data"))</f>
        <v>1</v>
      </c>
      <c r="W89">
        <v>0.4</v>
      </c>
      <c r="X89" s="4">
        <f>IF(ISBLANK(W89), "geen data", IF(W89&lt;=AVERAGE($W$2:$W$125), 1, 0))</f>
        <v>0</v>
      </c>
      <c r="Y89">
        <v>0.14000000000000001</v>
      </c>
      <c r="Z89" s="4">
        <f>IF(ISBLANK(Y89), "geen data", IF(Y89&lt;=AVERAGE($Y$2:$Y$125), 1, 0))</f>
        <v>1</v>
      </c>
      <c r="AB89" t="s">
        <v>651</v>
      </c>
      <c r="AD89" t="s">
        <v>682</v>
      </c>
      <c r="AE89" t="s">
        <v>780</v>
      </c>
      <c r="AF89" t="s">
        <v>181</v>
      </c>
      <c r="AG89" s="15" t="s">
        <v>182</v>
      </c>
      <c r="AJ89" t="s">
        <v>278</v>
      </c>
      <c r="AQ89" t="s">
        <v>552</v>
      </c>
      <c r="AR89" t="s">
        <v>270</v>
      </c>
    </row>
    <row r="90" spans="1:59" x14ac:dyDescent="0.2">
      <c r="A90" t="s">
        <v>183</v>
      </c>
      <c r="B90" s="4">
        <v>0</v>
      </c>
      <c r="C90" t="s">
        <v>183</v>
      </c>
      <c r="D90" t="s">
        <v>183</v>
      </c>
      <c r="F90" t="s">
        <v>603</v>
      </c>
      <c r="G90" t="s">
        <v>681</v>
      </c>
      <c r="H90" t="s">
        <v>8</v>
      </c>
      <c r="I90">
        <v>1</v>
      </c>
      <c r="J90" t="s">
        <v>3</v>
      </c>
      <c r="K90" t="s">
        <v>184</v>
      </c>
      <c r="L90" t="s">
        <v>184</v>
      </c>
      <c r="M90" t="s">
        <v>26</v>
      </c>
      <c r="O90" t="s">
        <v>35</v>
      </c>
      <c r="T90">
        <v>4</v>
      </c>
      <c r="U90">
        <v>24</v>
      </c>
      <c r="V90">
        <f>IF(NOT(ISBLANK(T90)), IF(T90&gt;=AVERAGE($T$2:$T$125), 1, 0), IF(NOT(ISBLANK(U90)), IF(U90&gt;=AVERAGE($U$2:$U$125), 1, 0), "geen data"))</f>
        <v>0</v>
      </c>
      <c r="W90">
        <v>0.3</v>
      </c>
      <c r="X90" s="4">
        <f>IF(ISBLANK(W90), "geen data", IF(W90&lt;=AVERAGE($W$2:$W$125), 1, 0))</f>
        <v>0</v>
      </c>
      <c r="Y90">
        <v>0.14000000000000001</v>
      </c>
      <c r="Z90" s="4">
        <f>IF(ISBLANK(Y90), "geen data", IF(Y90&lt;=AVERAGE($Y$2:$Y$125), 1, 0))</f>
        <v>1</v>
      </c>
      <c r="AB90">
        <v>2020</v>
      </c>
      <c r="AC90" s="6"/>
      <c r="AD90" s="6" t="s">
        <v>672</v>
      </c>
      <c r="AE90" s="6"/>
      <c r="AF90" s="6" t="s">
        <v>185</v>
      </c>
      <c r="AG90" s="2" t="s">
        <v>186</v>
      </c>
      <c r="AI90" t="s">
        <v>674</v>
      </c>
      <c r="AK90" s="27" t="s">
        <v>275</v>
      </c>
      <c r="AL90" s="27" t="s">
        <v>676</v>
      </c>
      <c r="AM90" s="27" t="s">
        <v>675</v>
      </c>
      <c r="AN90" s="27" t="s">
        <v>677</v>
      </c>
      <c r="AP90" t="s">
        <v>678</v>
      </c>
      <c r="AQ90" t="s">
        <v>274</v>
      </c>
      <c r="BB90" t="s">
        <v>553</v>
      </c>
    </row>
    <row r="91" spans="1:59" ht="16.5" customHeight="1" x14ac:dyDescent="0.2">
      <c r="A91" t="s">
        <v>187</v>
      </c>
      <c r="B91" s="4">
        <v>0</v>
      </c>
      <c r="C91" t="s">
        <v>187</v>
      </c>
      <c r="D91" t="s">
        <v>187</v>
      </c>
      <c r="F91" t="s">
        <v>604</v>
      </c>
      <c r="G91" t="s">
        <v>681</v>
      </c>
      <c r="H91" t="s">
        <v>8</v>
      </c>
      <c r="I91">
        <v>1</v>
      </c>
      <c r="J91" t="s">
        <v>3</v>
      </c>
      <c r="K91" t="s">
        <v>188</v>
      </c>
      <c r="L91" t="s">
        <v>189</v>
      </c>
      <c r="M91" t="s">
        <v>338</v>
      </c>
      <c r="O91" t="s">
        <v>35</v>
      </c>
      <c r="P91">
        <v>1</v>
      </c>
      <c r="Q91">
        <v>1</v>
      </c>
      <c r="R91" t="s">
        <v>679</v>
      </c>
      <c r="S91" t="s">
        <v>679</v>
      </c>
      <c r="T91">
        <v>10</v>
      </c>
      <c r="V91">
        <f>IF(NOT(ISBLANK(T91)), IF(T91&gt;=AVERAGE($T$2:$T$125), 1, 0), IF(NOT(ISBLANK(U91)), IF(U91&gt;=AVERAGE($U$2:$U$125), 1, 0), "geen data"))</f>
        <v>1</v>
      </c>
      <c r="W91">
        <v>0.3</v>
      </c>
      <c r="X91" s="4">
        <f>IF(ISBLANK(W91), "geen data", IF(W91&lt;=AVERAGE($W$2:$W$125), 1, 0))</f>
        <v>0</v>
      </c>
      <c r="Y91">
        <v>0.14000000000000001</v>
      </c>
      <c r="Z91" s="4">
        <f>IF(ISBLANK(Y91), "geen data", IF(Y91&lt;=AVERAGE($Y$2:$Y$125), 1, 0))</f>
        <v>1</v>
      </c>
      <c r="AB91">
        <v>2024</v>
      </c>
      <c r="AD91" t="s">
        <v>680</v>
      </c>
      <c r="AF91" s="7" t="s">
        <v>293</v>
      </c>
      <c r="AG91" s="15" t="s">
        <v>190</v>
      </c>
      <c r="AJ91" s="27" t="s">
        <v>290</v>
      </c>
      <c r="AK91" s="27" t="s">
        <v>275</v>
      </c>
      <c r="AL91" s="27" t="s">
        <v>280</v>
      </c>
      <c r="AM91" s="27" t="s">
        <v>568</v>
      </c>
      <c r="AN91" t="s">
        <v>282</v>
      </c>
      <c r="AO91" s="27"/>
      <c r="AP91" t="s">
        <v>276</v>
      </c>
      <c r="AQ91" t="s">
        <v>274</v>
      </c>
      <c r="AR91" t="s">
        <v>270</v>
      </c>
      <c r="BB91" t="s">
        <v>554</v>
      </c>
      <c r="BG91" s="2"/>
    </row>
    <row r="92" spans="1:59" ht="15" customHeight="1" x14ac:dyDescent="0.2">
      <c r="A92" t="s">
        <v>191</v>
      </c>
      <c r="B92" s="4">
        <v>0</v>
      </c>
      <c r="C92" t="s">
        <v>191</v>
      </c>
      <c r="D92" t="s">
        <v>191</v>
      </c>
      <c r="H92" t="s">
        <v>619</v>
      </c>
      <c r="I92">
        <v>1</v>
      </c>
      <c r="X92" s="4"/>
      <c r="Z92" s="4"/>
      <c r="AG92" s="15"/>
      <c r="AJ92" s="27"/>
      <c r="AK92" s="27"/>
      <c r="AL92" s="27"/>
      <c r="AM92" s="27"/>
      <c r="AO92" s="27"/>
    </row>
    <row r="93" spans="1:59" ht="30" customHeight="1" x14ac:dyDescent="0.2">
      <c r="A93" t="s">
        <v>194</v>
      </c>
      <c r="B93" s="4">
        <v>1</v>
      </c>
      <c r="C93" t="s">
        <v>191</v>
      </c>
      <c r="D93" t="s">
        <v>194</v>
      </c>
      <c r="E93" t="s">
        <v>572</v>
      </c>
      <c r="F93" t="s">
        <v>571</v>
      </c>
      <c r="G93" t="s">
        <v>671</v>
      </c>
      <c r="H93" t="s">
        <v>619</v>
      </c>
      <c r="I93">
        <v>1</v>
      </c>
      <c r="J93" t="s">
        <v>3</v>
      </c>
      <c r="K93" t="s">
        <v>192</v>
      </c>
      <c r="L93" t="s">
        <v>195</v>
      </c>
      <c r="M93" t="s">
        <v>39</v>
      </c>
      <c r="O93" t="s">
        <v>35</v>
      </c>
      <c r="T93">
        <v>5</v>
      </c>
      <c r="U93">
        <v>5</v>
      </c>
      <c r="W93">
        <v>0.4</v>
      </c>
      <c r="X93" s="4"/>
      <c r="Y93">
        <v>0.14000000000000001</v>
      </c>
      <c r="Z93" s="4"/>
      <c r="AA93">
        <v>2024</v>
      </c>
      <c r="AB93" t="s">
        <v>651</v>
      </c>
      <c r="AF93" t="s">
        <v>193</v>
      </c>
      <c r="AG93" s="15" t="s">
        <v>196</v>
      </c>
      <c r="AH93" s="2"/>
      <c r="AI93" s="2"/>
      <c r="AJ93" s="27" t="s">
        <v>278</v>
      </c>
      <c r="AK93" s="27" t="s">
        <v>567</v>
      </c>
      <c r="AL93" s="27" t="s">
        <v>280</v>
      </c>
      <c r="AM93" s="27" t="s">
        <v>568</v>
      </c>
      <c r="AN93" t="s">
        <v>282</v>
      </c>
      <c r="AO93" s="27"/>
      <c r="AP93" t="s">
        <v>276</v>
      </c>
      <c r="AQ93" t="s">
        <v>569</v>
      </c>
      <c r="AR93" t="s">
        <v>270</v>
      </c>
      <c r="AY93" t="s">
        <v>531</v>
      </c>
      <c r="BB93" t="s">
        <v>574</v>
      </c>
    </row>
    <row r="94" spans="1:59" ht="37.5" customHeight="1" x14ac:dyDescent="0.2">
      <c r="A94" t="s">
        <v>197</v>
      </c>
      <c r="B94" s="4">
        <v>1</v>
      </c>
      <c r="C94" t="s">
        <v>191</v>
      </c>
      <c r="D94" t="s">
        <v>197</v>
      </c>
      <c r="E94" t="s">
        <v>572</v>
      </c>
      <c r="F94" t="s">
        <v>571</v>
      </c>
      <c r="G94" t="s">
        <v>671</v>
      </c>
      <c r="H94" t="s">
        <v>619</v>
      </c>
      <c r="I94">
        <v>1</v>
      </c>
      <c r="J94" t="s">
        <v>3</v>
      </c>
      <c r="K94" t="s">
        <v>192</v>
      </c>
      <c r="L94" t="s">
        <v>198</v>
      </c>
      <c r="M94" t="s">
        <v>39</v>
      </c>
      <c r="O94" t="s">
        <v>35</v>
      </c>
      <c r="T94">
        <v>5</v>
      </c>
      <c r="U94">
        <v>5</v>
      </c>
      <c r="W94">
        <v>0.4</v>
      </c>
      <c r="X94" s="4"/>
      <c r="Y94">
        <v>0.14000000000000001</v>
      </c>
      <c r="Z94" s="4"/>
      <c r="AA94">
        <v>2024</v>
      </c>
      <c r="AB94" t="s">
        <v>651</v>
      </c>
      <c r="AF94" t="s">
        <v>193</v>
      </c>
      <c r="AG94" s="15" t="s">
        <v>196</v>
      </c>
      <c r="AH94" s="2"/>
      <c r="AI94" s="2"/>
      <c r="AJ94" s="27" t="s">
        <v>278</v>
      </c>
      <c r="AK94" s="27" t="s">
        <v>567</v>
      </c>
      <c r="AL94" s="27" t="s">
        <v>280</v>
      </c>
      <c r="AM94" s="27" t="s">
        <v>568</v>
      </c>
      <c r="AN94" t="s">
        <v>282</v>
      </c>
      <c r="AO94" s="27"/>
      <c r="AP94" t="s">
        <v>276</v>
      </c>
      <c r="AQ94" t="s">
        <v>569</v>
      </c>
      <c r="AR94" t="s">
        <v>270</v>
      </c>
      <c r="AY94" t="s">
        <v>531</v>
      </c>
      <c r="BB94" t="s">
        <v>574</v>
      </c>
    </row>
    <row r="95" spans="1:59" ht="24.75" customHeight="1" x14ac:dyDescent="0.2">
      <c r="A95" t="s">
        <v>199</v>
      </c>
      <c r="B95" s="4">
        <v>1</v>
      </c>
      <c r="C95" t="s">
        <v>191</v>
      </c>
      <c r="D95" t="s">
        <v>199</v>
      </c>
      <c r="E95" t="s">
        <v>572</v>
      </c>
      <c r="F95" t="s">
        <v>571</v>
      </c>
      <c r="G95" t="s">
        <v>671</v>
      </c>
      <c r="H95" t="s">
        <v>619</v>
      </c>
      <c r="I95">
        <v>1</v>
      </c>
      <c r="J95" t="s">
        <v>3</v>
      </c>
      <c r="K95" t="s">
        <v>192</v>
      </c>
      <c r="L95" t="s">
        <v>200</v>
      </c>
      <c r="M95" t="s">
        <v>39</v>
      </c>
      <c r="O95" t="s">
        <v>35</v>
      </c>
      <c r="T95">
        <v>5</v>
      </c>
      <c r="U95">
        <v>5</v>
      </c>
      <c r="W95">
        <v>0.4</v>
      </c>
      <c r="X95" s="4"/>
      <c r="Y95">
        <v>0.14000000000000001</v>
      </c>
      <c r="Z95" s="4"/>
      <c r="AA95">
        <v>2024</v>
      </c>
      <c r="AB95" t="s">
        <v>651</v>
      </c>
      <c r="AF95" t="s">
        <v>193</v>
      </c>
      <c r="AG95" s="15" t="s">
        <v>196</v>
      </c>
      <c r="AH95" s="2"/>
      <c r="AI95" s="2"/>
      <c r="AJ95" s="27" t="s">
        <v>278</v>
      </c>
      <c r="AK95" s="27" t="s">
        <v>567</v>
      </c>
      <c r="AL95" s="27" t="s">
        <v>280</v>
      </c>
      <c r="AM95" s="27" t="s">
        <v>568</v>
      </c>
      <c r="AN95" t="s">
        <v>282</v>
      </c>
      <c r="AO95" s="27"/>
      <c r="AP95" t="s">
        <v>276</v>
      </c>
      <c r="AQ95" t="s">
        <v>569</v>
      </c>
      <c r="AR95" t="s">
        <v>270</v>
      </c>
      <c r="AY95" t="s">
        <v>531</v>
      </c>
      <c r="BB95" t="s">
        <v>574</v>
      </c>
    </row>
    <row r="96" spans="1:59" ht="30" customHeight="1" x14ac:dyDescent="0.2">
      <c r="A96" t="s">
        <v>201</v>
      </c>
      <c r="B96" s="4">
        <v>1</v>
      </c>
      <c r="C96" t="s">
        <v>191</v>
      </c>
      <c r="D96" t="s">
        <v>201</v>
      </c>
      <c r="E96" t="s">
        <v>572</v>
      </c>
      <c r="F96" t="s">
        <v>571</v>
      </c>
      <c r="G96" t="s">
        <v>671</v>
      </c>
      <c r="H96" t="s">
        <v>619</v>
      </c>
      <c r="I96">
        <v>1</v>
      </c>
      <c r="J96" t="s">
        <v>3</v>
      </c>
      <c r="K96" t="s">
        <v>192</v>
      </c>
      <c r="L96" t="s">
        <v>202</v>
      </c>
      <c r="M96" t="s">
        <v>39</v>
      </c>
      <c r="O96" t="s">
        <v>35</v>
      </c>
      <c r="T96">
        <v>5</v>
      </c>
      <c r="U96">
        <v>5</v>
      </c>
      <c r="W96">
        <v>0.4</v>
      </c>
      <c r="X96" s="4"/>
      <c r="Y96">
        <v>0.14000000000000001</v>
      </c>
      <c r="Z96" s="4"/>
      <c r="AA96">
        <v>2024</v>
      </c>
      <c r="AB96" t="s">
        <v>651</v>
      </c>
      <c r="AF96" t="s">
        <v>193</v>
      </c>
      <c r="AG96" s="15" t="s">
        <v>196</v>
      </c>
      <c r="AH96" s="2"/>
      <c r="AI96" s="2"/>
      <c r="AJ96" s="27" t="s">
        <v>278</v>
      </c>
      <c r="AK96" s="27" t="s">
        <v>567</v>
      </c>
      <c r="AL96" s="27" t="s">
        <v>280</v>
      </c>
      <c r="AM96" s="27" t="s">
        <v>568</v>
      </c>
      <c r="AN96" t="s">
        <v>282</v>
      </c>
      <c r="AO96" s="27"/>
      <c r="AP96" t="s">
        <v>276</v>
      </c>
      <c r="AQ96" t="s">
        <v>569</v>
      </c>
      <c r="AR96" t="s">
        <v>270</v>
      </c>
      <c r="AY96" t="s">
        <v>531</v>
      </c>
      <c r="BB96" t="s">
        <v>574</v>
      </c>
    </row>
    <row r="97" spans="1:54" ht="23.25" customHeight="1" x14ac:dyDescent="0.2">
      <c r="A97" t="s">
        <v>203</v>
      </c>
      <c r="B97" s="4">
        <v>1</v>
      </c>
      <c r="C97" t="s">
        <v>191</v>
      </c>
      <c r="D97" t="s">
        <v>203</v>
      </c>
      <c r="E97" t="s">
        <v>572</v>
      </c>
      <c r="F97" t="s">
        <v>571</v>
      </c>
      <c r="G97" t="s">
        <v>671</v>
      </c>
      <c r="H97" t="s">
        <v>619</v>
      </c>
      <c r="I97">
        <v>1</v>
      </c>
      <c r="J97" t="s">
        <v>3</v>
      </c>
      <c r="K97" t="s">
        <v>192</v>
      </c>
      <c r="L97" t="s">
        <v>204</v>
      </c>
      <c r="M97" t="s">
        <v>39</v>
      </c>
      <c r="O97" t="s">
        <v>35</v>
      </c>
      <c r="T97">
        <v>5</v>
      </c>
      <c r="U97">
        <v>5</v>
      </c>
      <c r="W97">
        <v>0.4</v>
      </c>
      <c r="X97" s="4"/>
      <c r="Y97">
        <v>0.14000000000000001</v>
      </c>
      <c r="Z97" s="4"/>
      <c r="AA97">
        <v>2024</v>
      </c>
      <c r="AB97" t="s">
        <v>651</v>
      </c>
      <c r="AF97" t="s">
        <v>193</v>
      </c>
      <c r="AG97" s="15" t="s">
        <v>196</v>
      </c>
      <c r="AH97" s="2"/>
      <c r="AI97" s="2"/>
      <c r="AJ97" s="27" t="s">
        <v>278</v>
      </c>
      <c r="AK97" s="27" t="s">
        <v>567</v>
      </c>
      <c r="AL97" s="27" t="s">
        <v>280</v>
      </c>
      <c r="AM97" s="27" t="s">
        <v>568</v>
      </c>
      <c r="AN97" t="s">
        <v>282</v>
      </c>
      <c r="AO97" s="27"/>
      <c r="AP97" t="s">
        <v>276</v>
      </c>
      <c r="AQ97" t="s">
        <v>569</v>
      </c>
      <c r="AR97" t="s">
        <v>270</v>
      </c>
      <c r="AY97" t="s">
        <v>531</v>
      </c>
      <c r="BB97" t="s">
        <v>574</v>
      </c>
    </row>
    <row r="98" spans="1:54" ht="34.5" customHeight="1" x14ac:dyDescent="0.2">
      <c r="A98" t="s">
        <v>205</v>
      </c>
      <c r="B98" s="4">
        <v>1</v>
      </c>
      <c r="C98" t="s">
        <v>191</v>
      </c>
      <c r="D98" t="s">
        <v>205</v>
      </c>
      <c r="E98" t="s">
        <v>572</v>
      </c>
      <c r="F98" t="s">
        <v>571</v>
      </c>
      <c r="G98" t="s">
        <v>671</v>
      </c>
      <c r="H98" t="s">
        <v>619</v>
      </c>
      <c r="I98">
        <v>1</v>
      </c>
      <c r="J98" t="s">
        <v>3</v>
      </c>
      <c r="K98" t="s">
        <v>192</v>
      </c>
      <c r="L98" t="s">
        <v>206</v>
      </c>
      <c r="M98" t="s">
        <v>39</v>
      </c>
      <c r="O98" t="s">
        <v>35</v>
      </c>
      <c r="T98">
        <v>5</v>
      </c>
      <c r="U98">
        <v>5</v>
      </c>
      <c r="W98">
        <v>0.4</v>
      </c>
      <c r="X98" s="4"/>
      <c r="Y98">
        <v>0.14000000000000001</v>
      </c>
      <c r="Z98" s="4"/>
      <c r="AA98">
        <v>2024</v>
      </c>
      <c r="AB98" t="s">
        <v>651</v>
      </c>
      <c r="AF98" t="s">
        <v>193</v>
      </c>
      <c r="AG98" s="15" t="s">
        <v>196</v>
      </c>
      <c r="AH98" s="2"/>
      <c r="AI98" s="2"/>
      <c r="AJ98" s="27" t="s">
        <v>278</v>
      </c>
      <c r="AK98" s="27" t="s">
        <v>567</v>
      </c>
      <c r="AL98" s="27" t="s">
        <v>280</v>
      </c>
      <c r="AM98" s="27" t="s">
        <v>568</v>
      </c>
      <c r="AN98" t="s">
        <v>282</v>
      </c>
      <c r="AP98" t="s">
        <v>276</v>
      </c>
      <c r="AQ98" t="s">
        <v>569</v>
      </c>
      <c r="AR98" t="s">
        <v>270</v>
      </c>
      <c r="AY98" t="s">
        <v>531</v>
      </c>
      <c r="BB98" t="s">
        <v>574</v>
      </c>
    </row>
    <row r="99" spans="1:54" ht="38.25" customHeight="1" x14ac:dyDescent="0.2">
      <c r="A99" t="s">
        <v>207</v>
      </c>
      <c r="B99" s="4">
        <v>1</v>
      </c>
      <c r="C99" t="s">
        <v>191</v>
      </c>
      <c r="D99" t="s">
        <v>207</v>
      </c>
      <c r="E99" t="s">
        <v>572</v>
      </c>
      <c r="F99" t="s">
        <v>571</v>
      </c>
      <c r="G99" t="s">
        <v>671</v>
      </c>
      <c r="H99" t="s">
        <v>619</v>
      </c>
      <c r="I99">
        <v>1</v>
      </c>
      <c r="J99" t="s">
        <v>3</v>
      </c>
      <c r="K99" t="s">
        <v>192</v>
      </c>
      <c r="L99" t="s">
        <v>208</v>
      </c>
      <c r="M99" t="s">
        <v>39</v>
      </c>
      <c r="O99" t="s">
        <v>35</v>
      </c>
      <c r="T99">
        <v>5</v>
      </c>
      <c r="U99">
        <v>5</v>
      </c>
      <c r="W99">
        <v>0.4</v>
      </c>
      <c r="X99" s="4"/>
      <c r="Y99">
        <v>0.14000000000000001</v>
      </c>
      <c r="Z99" s="4"/>
      <c r="AA99">
        <v>2024</v>
      </c>
      <c r="AB99" t="s">
        <v>651</v>
      </c>
      <c r="AF99" t="s">
        <v>193</v>
      </c>
      <c r="AG99" s="15" t="s">
        <v>196</v>
      </c>
      <c r="AH99" s="2"/>
      <c r="AI99" s="2"/>
      <c r="AJ99" s="27" t="s">
        <v>278</v>
      </c>
      <c r="AK99" s="27" t="s">
        <v>567</v>
      </c>
      <c r="AL99" s="27" t="s">
        <v>280</v>
      </c>
      <c r="AM99" s="27" t="s">
        <v>568</v>
      </c>
      <c r="AN99" t="s">
        <v>282</v>
      </c>
      <c r="AO99" s="27"/>
      <c r="AP99" t="s">
        <v>276</v>
      </c>
      <c r="AQ99" t="s">
        <v>569</v>
      </c>
      <c r="AR99" t="s">
        <v>270</v>
      </c>
      <c r="AY99" t="s">
        <v>531</v>
      </c>
      <c r="BB99" t="s">
        <v>574</v>
      </c>
    </row>
    <row r="100" spans="1:54" ht="38.25" customHeight="1" x14ac:dyDescent="0.2">
      <c r="A100" t="s">
        <v>209</v>
      </c>
      <c r="B100" s="4">
        <v>1</v>
      </c>
      <c r="C100" t="s">
        <v>191</v>
      </c>
      <c r="D100" t="s">
        <v>209</v>
      </c>
      <c r="E100" t="s">
        <v>572</v>
      </c>
      <c r="F100" t="s">
        <v>571</v>
      </c>
      <c r="G100" t="s">
        <v>671</v>
      </c>
      <c r="H100" t="s">
        <v>619</v>
      </c>
      <c r="I100">
        <v>1</v>
      </c>
      <c r="J100" t="s">
        <v>3</v>
      </c>
      <c r="K100" t="s">
        <v>192</v>
      </c>
      <c r="L100" t="s">
        <v>210</v>
      </c>
      <c r="M100" t="s">
        <v>39</v>
      </c>
      <c r="O100" t="s">
        <v>35</v>
      </c>
      <c r="T100">
        <v>5</v>
      </c>
      <c r="U100">
        <v>5</v>
      </c>
      <c r="W100">
        <v>0.4</v>
      </c>
      <c r="X100" s="4"/>
      <c r="Y100">
        <v>0.14000000000000001</v>
      </c>
      <c r="Z100" s="4"/>
      <c r="AA100">
        <v>2024</v>
      </c>
      <c r="AB100" t="s">
        <v>651</v>
      </c>
      <c r="AF100" t="s">
        <v>193</v>
      </c>
      <c r="AG100" s="15" t="s">
        <v>196</v>
      </c>
      <c r="AH100" s="2"/>
      <c r="AI100" s="2"/>
      <c r="AJ100" s="27" t="s">
        <v>278</v>
      </c>
      <c r="AK100" s="27" t="s">
        <v>567</v>
      </c>
      <c r="AL100" s="27" t="s">
        <v>280</v>
      </c>
      <c r="AM100" s="27" t="s">
        <v>568</v>
      </c>
      <c r="AN100" t="s">
        <v>282</v>
      </c>
      <c r="AO100" s="27"/>
      <c r="AP100" t="s">
        <v>276</v>
      </c>
      <c r="AQ100" t="s">
        <v>569</v>
      </c>
      <c r="AR100" t="s">
        <v>270</v>
      </c>
      <c r="AY100" t="s">
        <v>531</v>
      </c>
      <c r="BB100" t="s">
        <v>574</v>
      </c>
    </row>
    <row r="101" spans="1:54" ht="28.5" customHeight="1" x14ac:dyDescent="0.2">
      <c r="A101" t="s">
        <v>211</v>
      </c>
      <c r="B101" s="4">
        <v>1</v>
      </c>
      <c r="C101" t="s">
        <v>191</v>
      </c>
      <c r="D101" t="s">
        <v>211</v>
      </c>
      <c r="E101" t="s">
        <v>572</v>
      </c>
      <c r="F101" t="s">
        <v>570</v>
      </c>
      <c r="G101" t="s">
        <v>671</v>
      </c>
      <c r="H101" t="s">
        <v>619</v>
      </c>
      <c r="I101">
        <v>1</v>
      </c>
      <c r="J101" t="s">
        <v>25</v>
      </c>
      <c r="K101" t="s">
        <v>192</v>
      </c>
      <c r="L101" t="s">
        <v>212</v>
      </c>
      <c r="M101" t="s">
        <v>39</v>
      </c>
      <c r="O101" t="s">
        <v>35</v>
      </c>
      <c r="T101">
        <v>2</v>
      </c>
      <c r="U101">
        <v>8</v>
      </c>
      <c r="X101" s="4"/>
      <c r="Z101" s="4"/>
      <c r="AA101">
        <v>2017</v>
      </c>
      <c r="AB101">
        <v>2021</v>
      </c>
      <c r="AF101" t="s">
        <v>213</v>
      </c>
      <c r="AG101" s="15" t="s">
        <v>214</v>
      </c>
      <c r="AH101" s="2"/>
      <c r="AI101" s="2"/>
      <c r="AJ101" s="27" t="s">
        <v>278</v>
      </c>
      <c r="AK101" s="27" t="s">
        <v>567</v>
      </c>
      <c r="AL101" s="27" t="s">
        <v>280</v>
      </c>
      <c r="AM101" s="27"/>
      <c r="AN101" t="s">
        <v>282</v>
      </c>
      <c r="AO101" s="27"/>
      <c r="AQ101" t="s">
        <v>569</v>
      </c>
      <c r="AY101" t="s">
        <v>531</v>
      </c>
      <c r="BB101" t="s">
        <v>573</v>
      </c>
    </row>
    <row r="102" spans="1:54" ht="28.5" customHeight="1" x14ac:dyDescent="0.2">
      <c r="A102" t="s">
        <v>215</v>
      </c>
      <c r="B102" s="4">
        <v>1</v>
      </c>
      <c r="C102" t="s">
        <v>191</v>
      </c>
      <c r="D102" t="s">
        <v>215</v>
      </c>
      <c r="E102" t="s">
        <v>572</v>
      </c>
      <c r="F102" t="s">
        <v>570</v>
      </c>
      <c r="G102" t="s">
        <v>671</v>
      </c>
      <c r="H102" t="s">
        <v>619</v>
      </c>
      <c r="I102">
        <v>1</v>
      </c>
      <c r="J102" t="s">
        <v>25</v>
      </c>
      <c r="K102" t="s">
        <v>192</v>
      </c>
      <c r="L102" t="s">
        <v>216</v>
      </c>
      <c r="M102" t="s">
        <v>39</v>
      </c>
      <c r="O102" t="s">
        <v>35</v>
      </c>
      <c r="T102">
        <v>2</v>
      </c>
      <c r="U102">
        <v>8</v>
      </c>
      <c r="X102" s="4"/>
      <c r="Z102" s="4"/>
      <c r="AA102">
        <v>2017</v>
      </c>
      <c r="AB102">
        <v>2021</v>
      </c>
      <c r="AF102" t="s">
        <v>213</v>
      </c>
      <c r="AG102" s="15" t="s">
        <v>214</v>
      </c>
      <c r="AH102" s="2"/>
      <c r="AI102" s="2"/>
      <c r="AJ102" s="27" t="s">
        <v>278</v>
      </c>
      <c r="AK102" s="27" t="s">
        <v>567</v>
      </c>
      <c r="AL102" s="27" t="s">
        <v>280</v>
      </c>
      <c r="AM102" s="27"/>
      <c r="AN102" t="s">
        <v>282</v>
      </c>
      <c r="AO102" s="27"/>
      <c r="AQ102" t="s">
        <v>569</v>
      </c>
      <c r="AY102" t="s">
        <v>531</v>
      </c>
      <c r="BB102" t="s">
        <v>573</v>
      </c>
    </row>
    <row r="103" spans="1:54" ht="28.5" customHeight="1" x14ac:dyDescent="0.2">
      <c r="A103" t="s">
        <v>756</v>
      </c>
      <c r="B103" s="4">
        <v>1</v>
      </c>
      <c r="C103" t="s">
        <v>191</v>
      </c>
      <c r="D103" t="s">
        <v>756</v>
      </c>
      <c r="E103" t="s">
        <v>572</v>
      </c>
      <c r="F103" t="s">
        <v>570</v>
      </c>
      <c r="G103" t="s">
        <v>671</v>
      </c>
      <c r="H103" t="s">
        <v>619</v>
      </c>
      <c r="I103">
        <v>1</v>
      </c>
      <c r="J103" t="s">
        <v>25</v>
      </c>
      <c r="K103" t="s">
        <v>192</v>
      </c>
      <c r="L103" t="s">
        <v>217</v>
      </c>
      <c r="M103" t="s">
        <v>39</v>
      </c>
      <c r="O103" t="s">
        <v>35</v>
      </c>
      <c r="T103">
        <v>2</v>
      </c>
      <c r="U103">
        <v>8</v>
      </c>
      <c r="AA103">
        <v>2017</v>
      </c>
      <c r="AB103">
        <v>2021</v>
      </c>
      <c r="AF103" t="s">
        <v>213</v>
      </c>
      <c r="AG103" s="15" t="s">
        <v>214</v>
      </c>
      <c r="AJ103" s="27" t="s">
        <v>278</v>
      </c>
      <c r="AK103" s="27" t="s">
        <v>567</v>
      </c>
      <c r="AL103" s="27" t="s">
        <v>280</v>
      </c>
      <c r="AM103" s="27"/>
      <c r="AN103" t="s">
        <v>282</v>
      </c>
      <c r="AO103" s="27"/>
      <c r="AQ103" t="s">
        <v>569</v>
      </c>
      <c r="AY103" t="s">
        <v>531</v>
      </c>
      <c r="BB103" t="s">
        <v>573</v>
      </c>
    </row>
    <row r="104" spans="1:54" ht="28.5" customHeight="1" x14ac:dyDescent="0.2">
      <c r="A104" t="s">
        <v>218</v>
      </c>
      <c r="B104" s="4">
        <v>1</v>
      </c>
      <c r="C104" t="s">
        <v>191</v>
      </c>
      <c r="D104" t="s">
        <v>218</v>
      </c>
      <c r="E104" t="s">
        <v>572</v>
      </c>
      <c r="F104" t="s">
        <v>570</v>
      </c>
      <c r="G104" t="s">
        <v>671</v>
      </c>
      <c r="H104" t="s">
        <v>619</v>
      </c>
      <c r="I104">
        <v>1</v>
      </c>
      <c r="J104" t="s">
        <v>25</v>
      </c>
      <c r="K104" t="s">
        <v>192</v>
      </c>
      <c r="L104" t="s">
        <v>217</v>
      </c>
      <c r="M104" t="s">
        <v>39</v>
      </c>
      <c r="O104" t="s">
        <v>35</v>
      </c>
      <c r="T104">
        <v>2</v>
      </c>
      <c r="U104">
        <v>8</v>
      </c>
      <c r="AA104">
        <v>2017</v>
      </c>
      <c r="AB104">
        <v>2021</v>
      </c>
      <c r="AF104" t="s">
        <v>213</v>
      </c>
      <c r="AG104" s="15" t="s">
        <v>214</v>
      </c>
      <c r="AJ104" s="27" t="s">
        <v>278</v>
      </c>
      <c r="AK104" s="27" t="s">
        <v>567</v>
      </c>
      <c r="AL104" s="27" t="s">
        <v>280</v>
      </c>
      <c r="AM104" s="27"/>
      <c r="AN104" t="s">
        <v>282</v>
      </c>
      <c r="AO104" s="27"/>
      <c r="AQ104" t="s">
        <v>569</v>
      </c>
      <c r="AY104" t="s">
        <v>531</v>
      </c>
      <c r="BB104" t="s">
        <v>573</v>
      </c>
    </row>
    <row r="105" spans="1:54" s="4" customFormat="1" x14ac:dyDescent="0.2">
      <c r="A105" s="4" t="s">
        <v>219</v>
      </c>
      <c r="B105" s="4">
        <v>0</v>
      </c>
      <c r="C105" s="4" t="s">
        <v>219</v>
      </c>
      <c r="D105" s="4" t="s">
        <v>219</v>
      </c>
      <c r="M105"/>
      <c r="V105" t="str">
        <f t="shared" ref="V105:V125" si="12">IF(NOT(ISBLANK(T105)), IF(T105&gt;=AVERAGE($T$2:$T$125), 1, 0), IF(NOT(ISBLANK(U105)), IF(U105&gt;=AVERAGE($U$2:$U$125), 1, 0), "geen data"))</f>
        <v>geen data</v>
      </c>
      <c r="X105" s="4" t="str">
        <f t="shared" ref="X105:X113" si="13">IF(ISBLANK(W105), "geen data", IF(W105&lt;=AVERAGE($W$2:$W$125), 1, 0))</f>
        <v>geen data</v>
      </c>
      <c r="Z105" s="4" t="str">
        <f t="shared" ref="Z105:Z113" si="14">IF(ISBLANK(Y105), "geen data", IF(Y105&lt;=AVERAGE($Y$2:$Y$125), 1, 0))</f>
        <v>geen data</v>
      </c>
      <c r="AG105" s="4" t="s">
        <v>18</v>
      </c>
    </row>
    <row r="106" spans="1:54" s="4" customFormat="1" ht="22.5" customHeight="1" x14ac:dyDescent="0.2">
      <c r="A106" s="4" t="s">
        <v>220</v>
      </c>
      <c r="B106" s="4">
        <v>0</v>
      </c>
      <c r="C106" s="4" t="s">
        <v>220</v>
      </c>
      <c r="D106" s="4" t="s">
        <v>220</v>
      </c>
      <c r="J106" s="4" t="s">
        <v>25</v>
      </c>
      <c r="K106" s="4" t="s">
        <v>221</v>
      </c>
      <c r="L106" s="4" t="s">
        <v>222</v>
      </c>
      <c r="M106" s="4" t="s">
        <v>39</v>
      </c>
      <c r="O106" s="4" t="s">
        <v>35</v>
      </c>
      <c r="V106" t="str">
        <f t="shared" si="12"/>
        <v>geen data</v>
      </c>
      <c r="W106" s="4">
        <v>7.0000000000000007E-2</v>
      </c>
      <c r="X106" s="4">
        <f t="shared" si="13"/>
        <v>1</v>
      </c>
      <c r="Z106" s="4" t="str">
        <f t="shared" si="14"/>
        <v>geen data</v>
      </c>
      <c r="AF106" s="4" t="s">
        <v>223</v>
      </c>
      <c r="AG106" s="18" t="s">
        <v>224</v>
      </c>
    </row>
    <row r="107" spans="1:54" x14ac:dyDescent="0.2">
      <c r="A107" t="s">
        <v>225</v>
      </c>
      <c r="B107" s="4">
        <v>0</v>
      </c>
      <c r="C107" t="s">
        <v>225</v>
      </c>
      <c r="D107" t="s">
        <v>225</v>
      </c>
      <c r="F107" t="s">
        <v>635</v>
      </c>
      <c r="H107" t="s">
        <v>8</v>
      </c>
      <c r="I107">
        <v>1</v>
      </c>
      <c r="J107" t="s">
        <v>25</v>
      </c>
      <c r="K107" t="s">
        <v>226</v>
      </c>
      <c r="L107" t="s">
        <v>227</v>
      </c>
      <c r="M107" t="s">
        <v>26</v>
      </c>
      <c r="O107" t="s">
        <v>35</v>
      </c>
      <c r="T107">
        <v>5</v>
      </c>
      <c r="V107">
        <f t="shared" si="12"/>
        <v>0</v>
      </c>
      <c r="W107">
        <v>0.3</v>
      </c>
      <c r="X107" s="4">
        <f t="shared" si="13"/>
        <v>0</v>
      </c>
      <c r="Y107">
        <v>0.15</v>
      </c>
      <c r="Z107" s="4">
        <f t="shared" si="14"/>
        <v>0</v>
      </c>
      <c r="AB107">
        <v>2011</v>
      </c>
      <c r="AD107" t="s">
        <v>634</v>
      </c>
      <c r="AF107" s="6" t="s">
        <v>228</v>
      </c>
      <c r="AG107" t="s">
        <v>229</v>
      </c>
      <c r="AH107" s="27">
        <v>1</v>
      </c>
      <c r="AI107" s="27"/>
      <c r="AJ107" s="27" t="s">
        <v>278</v>
      </c>
      <c r="AK107" s="27" t="s">
        <v>275</v>
      </c>
      <c r="AL107" s="27" t="s">
        <v>280</v>
      </c>
      <c r="AM107" s="27" t="s">
        <v>281</v>
      </c>
      <c r="AN107" t="s">
        <v>282</v>
      </c>
      <c r="AO107" s="27"/>
      <c r="AP107" t="s">
        <v>276</v>
      </c>
      <c r="AQ107" t="s">
        <v>552</v>
      </c>
      <c r="AR107" t="s">
        <v>270</v>
      </c>
      <c r="AV107" t="s">
        <v>555</v>
      </c>
      <c r="AW107" t="s">
        <v>291</v>
      </c>
      <c r="AY107" t="s">
        <v>531</v>
      </c>
      <c r="BB107" t="s">
        <v>556</v>
      </c>
    </row>
    <row r="108" spans="1:54" ht="14.25" customHeight="1" x14ac:dyDescent="0.2">
      <c r="A108" t="s">
        <v>230</v>
      </c>
      <c r="B108" s="4">
        <v>0</v>
      </c>
      <c r="C108" t="s">
        <v>230</v>
      </c>
      <c r="D108" t="s">
        <v>230</v>
      </c>
      <c r="F108" t="s">
        <v>605</v>
      </c>
      <c r="H108" t="s">
        <v>8</v>
      </c>
      <c r="I108">
        <v>1</v>
      </c>
      <c r="J108" t="s">
        <v>3</v>
      </c>
      <c r="M108" t="s">
        <v>26</v>
      </c>
      <c r="O108" t="s">
        <v>35</v>
      </c>
      <c r="T108">
        <v>2</v>
      </c>
      <c r="U108">
        <v>10</v>
      </c>
      <c r="V108">
        <f t="shared" si="12"/>
        <v>0</v>
      </c>
      <c r="W108">
        <v>0.3</v>
      </c>
      <c r="X108" s="4">
        <f t="shared" si="13"/>
        <v>0</v>
      </c>
      <c r="Y108">
        <v>0.15</v>
      </c>
      <c r="Z108" s="4">
        <f t="shared" si="14"/>
        <v>0</v>
      </c>
      <c r="AA108">
        <v>2011</v>
      </c>
      <c r="AB108">
        <v>2015</v>
      </c>
      <c r="AF108" s="12" t="s">
        <v>231</v>
      </c>
      <c r="AG108" t="s">
        <v>232</v>
      </c>
      <c r="AH108">
        <v>1</v>
      </c>
      <c r="AK108" t="s">
        <v>275</v>
      </c>
      <c r="AL108" t="s">
        <v>280</v>
      </c>
      <c r="AM108" t="s">
        <v>281</v>
      </c>
      <c r="AN108" t="s">
        <v>282</v>
      </c>
      <c r="AP108" t="s">
        <v>279</v>
      </c>
      <c r="AR108" t="s">
        <v>270</v>
      </c>
    </row>
    <row r="109" spans="1:54" ht="14.25" customHeight="1" x14ac:dyDescent="0.2">
      <c r="A109" t="s">
        <v>230</v>
      </c>
      <c r="B109" s="4">
        <v>0</v>
      </c>
      <c r="C109" t="s">
        <v>230</v>
      </c>
      <c r="D109" t="s">
        <v>230</v>
      </c>
      <c r="F109" t="s">
        <v>605</v>
      </c>
      <c r="H109" t="s">
        <v>8</v>
      </c>
      <c r="I109">
        <v>2</v>
      </c>
      <c r="J109" t="s">
        <v>3</v>
      </c>
      <c r="M109" t="s">
        <v>26</v>
      </c>
      <c r="O109" t="s">
        <v>35</v>
      </c>
      <c r="T109">
        <v>2</v>
      </c>
      <c r="U109">
        <v>10</v>
      </c>
      <c r="V109">
        <f t="shared" si="12"/>
        <v>0</v>
      </c>
      <c r="W109">
        <v>0.3</v>
      </c>
      <c r="X109" s="4">
        <f t="shared" si="13"/>
        <v>0</v>
      </c>
      <c r="Y109">
        <v>0.15</v>
      </c>
      <c r="Z109" s="4">
        <f t="shared" si="14"/>
        <v>0</v>
      </c>
      <c r="AA109">
        <v>2023</v>
      </c>
      <c r="AB109">
        <v>2025</v>
      </c>
      <c r="AD109" t="s">
        <v>633</v>
      </c>
      <c r="AF109" t="s">
        <v>632</v>
      </c>
      <c r="AG109" t="s">
        <v>232</v>
      </c>
      <c r="AH109">
        <v>1</v>
      </c>
      <c r="AK109" t="s">
        <v>275</v>
      </c>
      <c r="AL109" t="s">
        <v>280</v>
      </c>
      <c r="AM109" t="s">
        <v>281</v>
      </c>
      <c r="AN109" t="s">
        <v>282</v>
      </c>
      <c r="AP109" t="s">
        <v>279</v>
      </c>
      <c r="AR109" t="s">
        <v>270</v>
      </c>
    </row>
    <row r="110" spans="1:54" x14ac:dyDescent="0.2">
      <c r="A110" t="s">
        <v>233</v>
      </c>
      <c r="B110" s="4">
        <v>0</v>
      </c>
      <c r="C110" t="s">
        <v>233</v>
      </c>
      <c r="D110" t="s">
        <v>233</v>
      </c>
      <c r="E110" s="6" t="s">
        <v>696</v>
      </c>
      <c r="F110" t="s">
        <v>687</v>
      </c>
      <c r="G110" t="s">
        <v>315</v>
      </c>
      <c r="H110" t="s">
        <v>8</v>
      </c>
      <c r="I110">
        <v>1</v>
      </c>
      <c r="J110" t="s">
        <v>3</v>
      </c>
      <c r="K110" t="s">
        <v>234</v>
      </c>
      <c r="L110" t="s">
        <v>234</v>
      </c>
      <c r="M110" t="s">
        <v>338</v>
      </c>
      <c r="O110" t="s">
        <v>35</v>
      </c>
      <c r="T110">
        <v>0.5</v>
      </c>
      <c r="V110">
        <f t="shared" si="12"/>
        <v>0</v>
      </c>
      <c r="W110">
        <v>0.25</v>
      </c>
      <c r="X110" s="4">
        <f t="shared" si="13"/>
        <v>1</v>
      </c>
      <c r="Y110">
        <v>0.1</v>
      </c>
      <c r="Z110" s="4">
        <f t="shared" si="14"/>
        <v>1</v>
      </c>
      <c r="AA110">
        <v>2008</v>
      </c>
      <c r="AB110">
        <v>2015</v>
      </c>
      <c r="AD110" t="s">
        <v>637</v>
      </c>
      <c r="AF110" s="6" t="s">
        <v>235</v>
      </c>
      <c r="AG110" t="s">
        <v>236</v>
      </c>
      <c r="AH110">
        <v>1</v>
      </c>
      <c r="AI110" t="s">
        <v>557</v>
      </c>
      <c r="AQ110" t="s">
        <v>552</v>
      </c>
      <c r="AT110" t="s">
        <v>558</v>
      </c>
      <c r="BB110" t="s">
        <v>559</v>
      </c>
    </row>
    <row r="111" spans="1:54" x14ac:dyDescent="0.2">
      <c r="A111" t="s">
        <v>233</v>
      </c>
      <c r="B111" s="4">
        <v>0</v>
      </c>
      <c r="C111" t="s">
        <v>233</v>
      </c>
      <c r="D111" t="s">
        <v>233</v>
      </c>
      <c r="E111" s="6" t="s">
        <v>696</v>
      </c>
      <c r="F111" t="s">
        <v>688</v>
      </c>
      <c r="G111" t="s">
        <v>315</v>
      </c>
      <c r="H111" t="s">
        <v>8</v>
      </c>
      <c r="I111">
        <v>2</v>
      </c>
      <c r="J111" t="s">
        <v>3</v>
      </c>
      <c r="K111" t="s">
        <v>234</v>
      </c>
      <c r="L111" t="s">
        <v>234</v>
      </c>
      <c r="M111" t="s">
        <v>338</v>
      </c>
      <c r="O111" t="s">
        <v>35</v>
      </c>
      <c r="T111">
        <v>0.5</v>
      </c>
      <c r="V111">
        <f t="shared" si="12"/>
        <v>0</v>
      </c>
      <c r="W111">
        <v>0.25</v>
      </c>
      <c r="X111" s="4">
        <f t="shared" si="13"/>
        <v>1</v>
      </c>
      <c r="Y111">
        <v>0.1</v>
      </c>
      <c r="Z111" s="4">
        <f t="shared" si="14"/>
        <v>1</v>
      </c>
      <c r="AA111">
        <v>2015</v>
      </c>
      <c r="AB111">
        <v>2022</v>
      </c>
      <c r="AD111" t="s">
        <v>636</v>
      </c>
      <c r="AF111" s="6" t="s">
        <v>235</v>
      </c>
      <c r="AG111" t="s">
        <v>236</v>
      </c>
      <c r="AH111">
        <v>1</v>
      </c>
      <c r="AI111" t="s">
        <v>557</v>
      </c>
      <c r="AQ111" t="s">
        <v>552</v>
      </c>
      <c r="AT111" t="s">
        <v>558</v>
      </c>
      <c r="BB111" t="s">
        <v>559</v>
      </c>
    </row>
    <row r="112" spans="1:54" x14ac:dyDescent="0.2">
      <c r="A112" t="s">
        <v>233</v>
      </c>
      <c r="B112" s="4">
        <v>0</v>
      </c>
      <c r="C112" t="s">
        <v>233</v>
      </c>
      <c r="D112" t="s">
        <v>233</v>
      </c>
      <c r="E112" s="6" t="s">
        <v>696</v>
      </c>
      <c r="F112" t="s">
        <v>689</v>
      </c>
      <c r="G112" t="s">
        <v>315</v>
      </c>
      <c r="H112" t="s">
        <v>8</v>
      </c>
      <c r="I112">
        <v>3</v>
      </c>
      <c r="J112" t="s">
        <v>3</v>
      </c>
      <c r="K112" t="s">
        <v>234</v>
      </c>
      <c r="L112" t="s">
        <v>234</v>
      </c>
      <c r="M112" t="s">
        <v>338</v>
      </c>
      <c r="O112" t="s">
        <v>35</v>
      </c>
      <c r="T112">
        <v>5</v>
      </c>
      <c r="V112">
        <f t="shared" si="12"/>
        <v>0</v>
      </c>
      <c r="W112">
        <v>0.25</v>
      </c>
      <c r="X112" s="4">
        <f t="shared" si="13"/>
        <v>1</v>
      </c>
      <c r="Y112">
        <v>0.1</v>
      </c>
      <c r="Z112" s="4">
        <f t="shared" si="14"/>
        <v>1</v>
      </c>
      <c r="AA112">
        <v>2022</v>
      </c>
      <c r="AB112">
        <v>2025</v>
      </c>
      <c r="AD112" t="s">
        <v>638</v>
      </c>
      <c r="AE112" t="s">
        <v>777</v>
      </c>
      <c r="AF112" s="6" t="s">
        <v>235</v>
      </c>
      <c r="AG112" t="s">
        <v>236</v>
      </c>
      <c r="AH112">
        <v>1</v>
      </c>
      <c r="AI112" t="s">
        <v>557</v>
      </c>
      <c r="AQ112" t="s">
        <v>552</v>
      </c>
      <c r="AT112" t="s">
        <v>558</v>
      </c>
      <c r="BB112" t="s">
        <v>559</v>
      </c>
    </row>
    <row r="113" spans="1:56" x14ac:dyDescent="0.2">
      <c r="A113" t="s">
        <v>237</v>
      </c>
      <c r="B113" s="4">
        <v>1</v>
      </c>
      <c r="C113" t="s">
        <v>233</v>
      </c>
      <c r="D113" t="s">
        <v>237</v>
      </c>
      <c r="F113" t="s">
        <v>607</v>
      </c>
      <c r="H113" t="s">
        <v>619</v>
      </c>
      <c r="I113">
        <v>1</v>
      </c>
      <c r="J113" t="s">
        <v>25</v>
      </c>
      <c r="M113" t="s">
        <v>26</v>
      </c>
      <c r="O113" t="s">
        <v>35</v>
      </c>
      <c r="T113">
        <v>2</v>
      </c>
      <c r="V113">
        <f t="shared" si="12"/>
        <v>0</v>
      </c>
      <c r="X113" s="4" t="str">
        <f t="shared" si="13"/>
        <v>geen data</v>
      </c>
      <c r="Z113" s="4" t="str">
        <f t="shared" si="14"/>
        <v>geen data</v>
      </c>
      <c r="AB113">
        <v>2008</v>
      </c>
      <c r="AF113" s="10" t="s">
        <v>238</v>
      </c>
      <c r="AG113" t="s">
        <v>239</v>
      </c>
    </row>
    <row r="114" spans="1:56" ht="16" x14ac:dyDescent="0.2">
      <c r="A114" t="s">
        <v>240</v>
      </c>
      <c r="B114" s="4" t="s">
        <v>576</v>
      </c>
      <c r="C114" t="s">
        <v>233</v>
      </c>
      <c r="D114" t="s">
        <v>240</v>
      </c>
      <c r="E114" t="s">
        <v>646</v>
      </c>
      <c r="F114" t="s">
        <v>647</v>
      </c>
      <c r="G114" s="6" t="s">
        <v>648</v>
      </c>
      <c r="H114" t="s">
        <v>619</v>
      </c>
      <c r="I114">
        <v>1</v>
      </c>
      <c r="J114" t="s">
        <v>25</v>
      </c>
      <c r="K114" s="29" t="s">
        <v>645</v>
      </c>
      <c r="M114" t="s">
        <v>26</v>
      </c>
      <c r="O114" t="s">
        <v>35</v>
      </c>
      <c r="U114">
        <v>100</v>
      </c>
      <c r="V114">
        <f t="shared" si="12"/>
        <v>1</v>
      </c>
      <c r="W114">
        <v>0.1</v>
      </c>
      <c r="X114" s="4"/>
      <c r="Y114">
        <v>0.1</v>
      </c>
      <c r="Z114" s="4"/>
      <c r="AB114">
        <v>2023</v>
      </c>
      <c r="AF114" s="10" t="s">
        <v>241</v>
      </c>
      <c r="AJ114" t="s">
        <v>639</v>
      </c>
      <c r="AK114" t="s">
        <v>640</v>
      </c>
      <c r="AL114" t="s">
        <v>641</v>
      </c>
      <c r="AM114" t="s">
        <v>642</v>
      </c>
      <c r="AO114" t="s">
        <v>643</v>
      </c>
      <c r="AP114" t="s">
        <v>644</v>
      </c>
    </row>
    <row r="115" spans="1:56" ht="28.5" customHeight="1" x14ac:dyDescent="0.2">
      <c r="A115" t="s">
        <v>242</v>
      </c>
      <c r="B115" s="4">
        <v>1</v>
      </c>
      <c r="C115" t="s">
        <v>233</v>
      </c>
      <c r="D115" t="s">
        <v>242</v>
      </c>
      <c r="F115" t="s">
        <v>606</v>
      </c>
      <c r="G115" t="s">
        <v>315</v>
      </c>
      <c r="H115" t="s">
        <v>619</v>
      </c>
      <c r="I115">
        <v>1</v>
      </c>
      <c r="J115" t="s">
        <v>25</v>
      </c>
      <c r="M115" t="s">
        <v>26</v>
      </c>
      <c r="O115" t="s">
        <v>35</v>
      </c>
      <c r="T115">
        <v>8</v>
      </c>
      <c r="V115">
        <f t="shared" si="12"/>
        <v>1</v>
      </c>
      <c r="X115" s="4" t="str">
        <f t="shared" ref="X115:X125" si="15">IF(ISBLANK(W115), "geen data", IF(W115&lt;=AVERAGE($W$2:$W$125), 1, 0))</f>
        <v>geen data</v>
      </c>
      <c r="Y115">
        <v>0.15</v>
      </c>
      <c r="Z115" s="4">
        <f t="shared" ref="Z115:Z125" si="16">IF(ISBLANK(Y115), "geen data", IF(Y115&lt;=AVERAGE($Y$2:$Y$125), 1, 0))</f>
        <v>0</v>
      </c>
      <c r="AA115">
        <v>2021</v>
      </c>
      <c r="AB115">
        <v>2023</v>
      </c>
      <c r="AD115" t="s">
        <v>649</v>
      </c>
      <c r="AF115" s="6" t="s">
        <v>243</v>
      </c>
      <c r="AG115" s="13" t="s">
        <v>37</v>
      </c>
      <c r="AJ115" s="27" t="s">
        <v>278</v>
      </c>
    </row>
    <row r="116" spans="1:56" x14ac:dyDescent="0.2">
      <c r="A116" t="s">
        <v>244</v>
      </c>
      <c r="B116" s="4">
        <v>0</v>
      </c>
      <c r="C116" t="s">
        <v>244</v>
      </c>
      <c r="D116" t="s">
        <v>244</v>
      </c>
      <c r="E116" t="s">
        <v>653</v>
      </c>
      <c r="F116" t="s">
        <v>608</v>
      </c>
      <c r="G116" t="s">
        <v>656</v>
      </c>
      <c r="H116" t="s">
        <v>8</v>
      </c>
      <c r="I116">
        <v>2</v>
      </c>
      <c r="J116" t="s">
        <v>3</v>
      </c>
      <c r="K116" t="s">
        <v>245</v>
      </c>
      <c r="L116" t="s">
        <v>245</v>
      </c>
      <c r="M116" t="s">
        <v>26</v>
      </c>
      <c r="N116" t="s">
        <v>655</v>
      </c>
      <c r="O116" t="s">
        <v>35</v>
      </c>
      <c r="T116">
        <v>1</v>
      </c>
      <c r="U116">
        <v>2</v>
      </c>
      <c r="V116">
        <f t="shared" si="12"/>
        <v>0</v>
      </c>
      <c r="W116">
        <v>0.2</v>
      </c>
      <c r="X116" s="4">
        <f t="shared" si="15"/>
        <v>1</v>
      </c>
      <c r="Y116">
        <v>0.05</v>
      </c>
      <c r="Z116" s="4">
        <f t="shared" si="16"/>
        <v>1</v>
      </c>
      <c r="AA116">
        <v>2009</v>
      </c>
      <c r="AB116">
        <v>2019</v>
      </c>
      <c r="AD116" s="6" t="s">
        <v>654</v>
      </c>
      <c r="AE116" s="6"/>
      <c r="AG116" t="s">
        <v>246</v>
      </c>
      <c r="AH116">
        <v>1</v>
      </c>
      <c r="AJ116" t="s">
        <v>547</v>
      </c>
      <c r="AK116" t="s">
        <v>560</v>
      </c>
      <c r="AR116" t="s">
        <v>270</v>
      </c>
      <c r="AY116" t="s">
        <v>531</v>
      </c>
    </row>
    <row r="117" spans="1:56" x14ac:dyDescent="0.2">
      <c r="A117" t="s">
        <v>244</v>
      </c>
      <c r="B117" s="4">
        <v>0</v>
      </c>
      <c r="C117" t="s">
        <v>244</v>
      </c>
      <c r="D117" t="s">
        <v>244</v>
      </c>
      <c r="E117" t="s">
        <v>652</v>
      </c>
      <c r="F117" t="s">
        <v>609</v>
      </c>
      <c r="G117" t="s">
        <v>656</v>
      </c>
      <c r="H117" t="s">
        <v>8</v>
      </c>
      <c r="I117">
        <v>0</v>
      </c>
      <c r="J117" t="s">
        <v>3</v>
      </c>
      <c r="K117" t="s">
        <v>245</v>
      </c>
      <c r="L117" t="s">
        <v>245</v>
      </c>
      <c r="M117" t="s">
        <v>26</v>
      </c>
      <c r="N117" t="s">
        <v>655</v>
      </c>
      <c r="O117" t="s">
        <v>35</v>
      </c>
      <c r="T117">
        <v>1</v>
      </c>
      <c r="U117">
        <v>2</v>
      </c>
      <c r="V117">
        <f t="shared" si="12"/>
        <v>0</v>
      </c>
      <c r="W117">
        <v>0.2</v>
      </c>
      <c r="X117" s="4">
        <f t="shared" si="15"/>
        <v>1</v>
      </c>
      <c r="Y117">
        <v>0.05</v>
      </c>
      <c r="Z117" s="4">
        <f t="shared" si="16"/>
        <v>1</v>
      </c>
      <c r="AA117">
        <v>2018</v>
      </c>
      <c r="AB117" t="s">
        <v>651</v>
      </c>
      <c r="AD117" s="6" t="s">
        <v>650</v>
      </c>
      <c r="AE117" s="6"/>
      <c r="AG117" t="s">
        <v>246</v>
      </c>
      <c r="AH117">
        <v>1</v>
      </c>
      <c r="AJ117" t="s">
        <v>547</v>
      </c>
      <c r="AK117" t="s">
        <v>560</v>
      </c>
      <c r="AL117" t="s">
        <v>280</v>
      </c>
      <c r="AP117" t="s">
        <v>276</v>
      </c>
      <c r="AQ117" t="s">
        <v>552</v>
      </c>
      <c r="AR117" t="s">
        <v>270</v>
      </c>
      <c r="BB117" t="s">
        <v>561</v>
      </c>
    </row>
    <row r="118" spans="1:56" ht="64" x14ac:dyDescent="0.2">
      <c r="A118" t="s">
        <v>247</v>
      </c>
      <c r="B118" s="4">
        <v>0</v>
      </c>
      <c r="C118" t="s">
        <v>247</v>
      </c>
      <c r="D118" t="s">
        <v>247</v>
      </c>
      <c r="E118" t="s">
        <v>610</v>
      </c>
      <c r="F118" t="s">
        <v>598</v>
      </c>
      <c r="H118" t="s">
        <v>8</v>
      </c>
      <c r="I118">
        <v>1</v>
      </c>
      <c r="J118" t="s">
        <v>3</v>
      </c>
      <c r="K118" t="s">
        <v>248</v>
      </c>
      <c r="L118" t="s">
        <v>249</v>
      </c>
      <c r="M118" t="s">
        <v>26</v>
      </c>
      <c r="O118" t="s">
        <v>35</v>
      </c>
      <c r="T118">
        <v>5</v>
      </c>
      <c r="U118">
        <v>15</v>
      </c>
      <c r="V118">
        <f t="shared" si="12"/>
        <v>0</v>
      </c>
      <c r="W118">
        <v>0.2</v>
      </c>
      <c r="X118" s="4">
        <f t="shared" si="15"/>
        <v>1</v>
      </c>
      <c r="Y118">
        <v>0.1</v>
      </c>
      <c r="Z118" s="4">
        <f t="shared" si="16"/>
        <v>1</v>
      </c>
      <c r="AB118">
        <v>2024</v>
      </c>
      <c r="AF118" s="6" t="s">
        <v>250</v>
      </c>
      <c r="AG118" t="s">
        <v>251</v>
      </c>
      <c r="AH118">
        <v>1</v>
      </c>
      <c r="AJ118" t="s">
        <v>547</v>
      </c>
      <c r="AK118" t="s">
        <v>275</v>
      </c>
      <c r="AL118" s="15" t="s">
        <v>657</v>
      </c>
      <c r="AP118" t="s">
        <v>276</v>
      </c>
      <c r="AR118" t="s">
        <v>270</v>
      </c>
      <c r="AV118" s="29" t="s">
        <v>659</v>
      </c>
      <c r="AW118" s="15" t="s">
        <v>660</v>
      </c>
      <c r="AY118" t="s">
        <v>663</v>
      </c>
      <c r="BB118" t="s">
        <v>662</v>
      </c>
    </row>
    <row r="119" spans="1:56" ht="64" x14ac:dyDescent="0.2">
      <c r="A119" t="s">
        <v>247</v>
      </c>
      <c r="B119" s="4">
        <v>0</v>
      </c>
      <c r="C119" t="s">
        <v>247</v>
      </c>
      <c r="D119" t="s">
        <v>247</v>
      </c>
      <c r="E119" t="s">
        <v>610</v>
      </c>
      <c r="F119" t="s">
        <v>598</v>
      </c>
      <c r="G119" t="s">
        <v>664</v>
      </c>
      <c r="H119" t="s">
        <v>8</v>
      </c>
      <c r="I119">
        <v>2</v>
      </c>
      <c r="J119" t="s">
        <v>3</v>
      </c>
      <c r="K119" t="s">
        <v>248</v>
      </c>
      <c r="L119" t="s">
        <v>249</v>
      </c>
      <c r="M119" t="s">
        <v>26</v>
      </c>
      <c r="O119" t="s">
        <v>35</v>
      </c>
      <c r="T119">
        <v>15</v>
      </c>
      <c r="U119">
        <v>40</v>
      </c>
      <c r="V119">
        <f t="shared" si="12"/>
        <v>1</v>
      </c>
      <c r="W119">
        <v>0.2</v>
      </c>
      <c r="X119" s="4">
        <f t="shared" si="15"/>
        <v>1</v>
      </c>
      <c r="Y119">
        <v>0.1</v>
      </c>
      <c r="Z119" s="4">
        <f t="shared" si="16"/>
        <v>1</v>
      </c>
      <c r="AA119">
        <v>2024</v>
      </c>
      <c r="AB119" t="s">
        <v>651</v>
      </c>
      <c r="AF119" s="6" t="s">
        <v>250</v>
      </c>
      <c r="AG119" t="s">
        <v>251</v>
      </c>
      <c r="AH119">
        <v>1</v>
      </c>
      <c r="AJ119" t="s">
        <v>547</v>
      </c>
      <c r="AK119" t="s">
        <v>275</v>
      </c>
      <c r="AL119" s="15" t="s">
        <v>657</v>
      </c>
      <c r="AP119" t="s">
        <v>658</v>
      </c>
      <c r="AR119" t="s">
        <v>270</v>
      </c>
      <c r="AV119" s="29" t="s">
        <v>659</v>
      </c>
      <c r="AW119" s="15" t="s">
        <v>660</v>
      </c>
      <c r="AY119" t="s">
        <v>661</v>
      </c>
      <c r="BB119" t="s">
        <v>662</v>
      </c>
    </row>
    <row r="120" spans="1:56" s="4" customFormat="1" x14ac:dyDescent="0.2">
      <c r="A120" s="4" t="s">
        <v>252</v>
      </c>
      <c r="B120" s="4">
        <v>0</v>
      </c>
      <c r="C120" s="4" t="s">
        <v>252</v>
      </c>
      <c r="D120" s="4" t="s">
        <v>252</v>
      </c>
      <c r="V120" t="str">
        <f t="shared" si="12"/>
        <v>geen data</v>
      </c>
      <c r="X120" s="4" t="str">
        <f t="shared" si="15"/>
        <v>geen data</v>
      </c>
      <c r="Z120" s="4" t="str">
        <f t="shared" si="16"/>
        <v>geen data</v>
      </c>
      <c r="AG120" s="4" t="s">
        <v>18</v>
      </c>
      <c r="AH120" s="22"/>
      <c r="AI120" s="22"/>
      <c r="AJ120" s="22"/>
      <c r="AK120" s="22"/>
      <c r="AL120" s="22"/>
      <c r="AM120" s="22"/>
      <c r="AN120" s="22"/>
      <c r="AO120" s="22"/>
      <c r="AP120" s="22"/>
      <c r="AQ120" s="22"/>
      <c r="AR120" s="22"/>
      <c r="AS120" s="22"/>
      <c r="AT120" s="22"/>
      <c r="AU120" s="22"/>
      <c r="AV120" s="22"/>
      <c r="AW120" s="22"/>
      <c r="AX120" s="22"/>
      <c r="AY120" s="22"/>
      <c r="AZ120" s="22"/>
      <c r="BB120" s="22"/>
      <c r="BD120" s="22"/>
    </row>
    <row r="121" spans="1:56" ht="30" customHeight="1" x14ac:dyDescent="0.2">
      <c r="A121" t="s">
        <v>253</v>
      </c>
      <c r="B121" s="4">
        <v>0</v>
      </c>
      <c r="C121" t="s">
        <v>253</v>
      </c>
      <c r="D121" t="s">
        <v>253</v>
      </c>
      <c r="J121" t="s">
        <v>25</v>
      </c>
      <c r="M121" t="s">
        <v>22</v>
      </c>
      <c r="V121" t="str">
        <f t="shared" si="12"/>
        <v>geen data</v>
      </c>
      <c r="X121" s="4" t="str">
        <f t="shared" si="15"/>
        <v>geen data</v>
      </c>
      <c r="Z121" s="4" t="str">
        <f t="shared" si="16"/>
        <v>geen data</v>
      </c>
      <c r="AG121" t="s">
        <v>254</v>
      </c>
    </row>
    <row r="122" spans="1:56" ht="30" customHeight="1" x14ac:dyDescent="0.2">
      <c r="A122" t="s">
        <v>255</v>
      </c>
      <c r="B122" s="4">
        <v>1</v>
      </c>
      <c r="C122" t="s">
        <v>253</v>
      </c>
      <c r="D122" t="s">
        <v>255</v>
      </c>
      <c r="E122" t="s">
        <v>612</v>
      </c>
      <c r="F122" t="s">
        <v>611</v>
      </c>
      <c r="G122" t="s">
        <v>665</v>
      </c>
      <c r="H122" t="s">
        <v>619</v>
      </c>
      <c r="I122">
        <v>1</v>
      </c>
      <c r="J122" t="s">
        <v>25</v>
      </c>
      <c r="K122" t="s">
        <v>256</v>
      </c>
      <c r="L122" t="s">
        <v>257</v>
      </c>
      <c r="M122" t="s">
        <v>338</v>
      </c>
      <c r="O122" t="s">
        <v>35</v>
      </c>
      <c r="P122">
        <v>1</v>
      </c>
      <c r="R122">
        <v>1</v>
      </c>
      <c r="T122">
        <v>1</v>
      </c>
      <c r="U122">
        <v>16</v>
      </c>
      <c r="V122">
        <f t="shared" si="12"/>
        <v>0</v>
      </c>
      <c r="W122">
        <v>0.4</v>
      </c>
      <c r="X122" s="4">
        <f t="shared" si="15"/>
        <v>0</v>
      </c>
      <c r="Y122">
        <v>0.05</v>
      </c>
      <c r="Z122" s="4">
        <f t="shared" si="16"/>
        <v>1</v>
      </c>
      <c r="AB122">
        <v>2023</v>
      </c>
      <c r="AE122" t="s">
        <v>781</v>
      </c>
      <c r="AF122" t="s">
        <v>258</v>
      </c>
      <c r="AG122" s="15" t="s">
        <v>259</v>
      </c>
      <c r="AH122" s="27">
        <v>1</v>
      </c>
      <c r="AI122" s="27"/>
      <c r="AJ122" s="27" t="s">
        <v>562</v>
      </c>
      <c r="AK122" s="27" t="s">
        <v>275</v>
      </c>
      <c r="AL122" s="27" t="s">
        <v>563</v>
      </c>
      <c r="AM122" t="s">
        <v>564</v>
      </c>
      <c r="AN122" s="27" t="s">
        <v>565</v>
      </c>
      <c r="AP122" t="s">
        <v>279</v>
      </c>
      <c r="BB122" t="s">
        <v>566</v>
      </c>
    </row>
    <row r="123" spans="1:56" x14ac:dyDescent="0.2">
      <c r="A123" t="s">
        <v>260</v>
      </c>
      <c r="B123" s="4">
        <v>1</v>
      </c>
      <c r="C123" t="s">
        <v>253</v>
      </c>
      <c r="D123" t="s">
        <v>260</v>
      </c>
      <c r="E123" t="s">
        <v>613</v>
      </c>
      <c r="F123" t="s">
        <v>614</v>
      </c>
      <c r="G123" t="s">
        <v>666</v>
      </c>
      <c r="H123" t="s">
        <v>619</v>
      </c>
      <c r="I123">
        <v>1</v>
      </c>
      <c r="J123" t="s">
        <v>25</v>
      </c>
      <c r="K123" t="s">
        <v>256</v>
      </c>
      <c r="L123" t="s">
        <v>257</v>
      </c>
      <c r="M123" t="s">
        <v>338</v>
      </c>
      <c r="O123" t="s">
        <v>35</v>
      </c>
      <c r="P123">
        <v>1</v>
      </c>
      <c r="R123">
        <v>1</v>
      </c>
      <c r="T123">
        <v>4</v>
      </c>
      <c r="V123">
        <f t="shared" si="12"/>
        <v>0</v>
      </c>
      <c r="W123">
        <v>0.05</v>
      </c>
      <c r="X123" s="4">
        <f t="shared" si="15"/>
        <v>1</v>
      </c>
      <c r="Y123">
        <v>0.1</v>
      </c>
      <c r="Z123" s="4">
        <f t="shared" si="16"/>
        <v>1</v>
      </c>
      <c r="AA123">
        <v>2011</v>
      </c>
      <c r="AB123">
        <v>2023</v>
      </c>
      <c r="AF123" t="s">
        <v>261</v>
      </c>
      <c r="AG123" t="s">
        <v>262</v>
      </c>
      <c r="AH123" s="27">
        <v>1</v>
      </c>
      <c r="AI123" s="27"/>
      <c r="AJ123" s="27"/>
      <c r="AK123" s="27" t="s">
        <v>275</v>
      </c>
      <c r="AL123" s="27" t="s">
        <v>280</v>
      </c>
      <c r="AM123" s="27" t="s">
        <v>281</v>
      </c>
      <c r="AN123" t="s">
        <v>282</v>
      </c>
      <c r="AP123" t="s">
        <v>279</v>
      </c>
      <c r="AQ123" t="s">
        <v>274</v>
      </c>
    </row>
    <row r="124" spans="1:56" x14ac:dyDescent="0.2">
      <c r="A124" t="s">
        <v>263</v>
      </c>
      <c r="B124" s="4">
        <v>1</v>
      </c>
      <c r="C124" t="s">
        <v>253</v>
      </c>
      <c r="D124" t="s">
        <v>263</v>
      </c>
      <c r="E124" t="s">
        <v>615</v>
      </c>
      <c r="F124" t="s">
        <v>616</v>
      </c>
      <c r="H124" t="s">
        <v>619</v>
      </c>
      <c r="I124">
        <v>1</v>
      </c>
      <c r="J124" t="s">
        <v>25</v>
      </c>
      <c r="K124" t="s">
        <v>256</v>
      </c>
      <c r="L124" t="s">
        <v>257</v>
      </c>
      <c r="M124" t="s">
        <v>39</v>
      </c>
      <c r="N124" t="s">
        <v>667</v>
      </c>
      <c r="O124" t="s">
        <v>264</v>
      </c>
      <c r="V124" t="str">
        <f t="shared" si="12"/>
        <v>geen data</v>
      </c>
      <c r="X124" s="4" t="str">
        <f t="shared" si="15"/>
        <v>geen data</v>
      </c>
      <c r="Y124">
        <v>0.65900000000000003</v>
      </c>
      <c r="Z124" s="4">
        <f t="shared" si="16"/>
        <v>0</v>
      </c>
      <c r="AB124">
        <v>2024</v>
      </c>
      <c r="AF124" s="10" t="s">
        <v>265</v>
      </c>
      <c r="AG124" t="s">
        <v>266</v>
      </c>
      <c r="AH124">
        <v>1</v>
      </c>
      <c r="AK124" t="s">
        <v>275</v>
      </c>
      <c r="AL124" t="s">
        <v>563</v>
      </c>
      <c r="AM124" t="s">
        <v>564</v>
      </c>
      <c r="AN124" t="s">
        <v>565</v>
      </c>
      <c r="AP124" t="s">
        <v>279</v>
      </c>
    </row>
    <row r="125" spans="1:56" x14ac:dyDescent="0.2">
      <c r="A125" t="s">
        <v>267</v>
      </c>
      <c r="B125" s="4">
        <v>1</v>
      </c>
      <c r="C125" t="s">
        <v>253</v>
      </c>
      <c r="D125" t="s">
        <v>267</v>
      </c>
      <c r="F125" t="s">
        <v>668</v>
      </c>
      <c r="H125" t="s">
        <v>619</v>
      </c>
      <c r="I125">
        <v>1</v>
      </c>
      <c r="J125" t="s">
        <v>25</v>
      </c>
      <c r="K125" t="s">
        <v>256</v>
      </c>
      <c r="L125" t="s">
        <v>257</v>
      </c>
      <c r="M125" t="s">
        <v>39</v>
      </c>
      <c r="O125" t="s">
        <v>35</v>
      </c>
      <c r="P125">
        <v>1</v>
      </c>
      <c r="Q125">
        <v>1</v>
      </c>
      <c r="R125">
        <v>1</v>
      </c>
      <c r="S125">
        <v>1</v>
      </c>
      <c r="T125">
        <v>1</v>
      </c>
      <c r="U125">
        <v>2</v>
      </c>
      <c r="V125">
        <f t="shared" si="12"/>
        <v>0</v>
      </c>
      <c r="W125">
        <v>1</v>
      </c>
      <c r="X125" s="4">
        <f t="shared" si="15"/>
        <v>0</v>
      </c>
      <c r="Y125">
        <v>0.1</v>
      </c>
      <c r="Z125" s="4">
        <f t="shared" si="16"/>
        <v>1</v>
      </c>
      <c r="AA125">
        <v>2020</v>
      </c>
      <c r="AB125">
        <v>2023</v>
      </c>
      <c r="AD125" t="s">
        <v>670</v>
      </c>
      <c r="AF125" t="s">
        <v>669</v>
      </c>
      <c r="AG125" t="s">
        <v>268</v>
      </c>
    </row>
    <row r="126" spans="1:56" ht="14.25" customHeight="1" x14ac:dyDescent="0.2">
      <c r="A126" t="s">
        <v>377</v>
      </c>
      <c r="B126" s="22" t="s">
        <v>576</v>
      </c>
      <c r="C126" t="s">
        <v>233</v>
      </c>
      <c r="D126" t="s">
        <v>377</v>
      </c>
      <c r="F126" t="s">
        <v>376</v>
      </c>
      <c r="G126" t="s">
        <v>378</v>
      </c>
      <c r="H126" t="s">
        <v>618</v>
      </c>
      <c r="I126">
        <v>1</v>
      </c>
      <c r="K126" t="s">
        <v>379</v>
      </c>
      <c r="M126" t="s">
        <v>39</v>
      </c>
      <c r="N126" t="s">
        <v>318</v>
      </c>
      <c r="O126" t="s">
        <v>35</v>
      </c>
      <c r="U126" t="s">
        <v>380</v>
      </c>
      <c r="AA126">
        <v>2022</v>
      </c>
      <c r="AB126">
        <v>2022</v>
      </c>
      <c r="AC126" s="24" t="s">
        <v>381</v>
      </c>
      <c r="AD126" t="s">
        <v>737</v>
      </c>
      <c r="AF126" t="s">
        <v>736</v>
      </c>
    </row>
    <row r="127" spans="1:56" ht="14.25" customHeight="1" x14ac:dyDescent="0.2">
      <c r="A127" t="s">
        <v>383</v>
      </c>
      <c r="B127" s="22" t="s">
        <v>576</v>
      </c>
      <c r="C127" t="s">
        <v>88</v>
      </c>
      <c r="D127" t="s">
        <v>383</v>
      </c>
      <c r="F127" t="s">
        <v>382</v>
      </c>
      <c r="G127" t="s">
        <v>378</v>
      </c>
      <c r="H127" t="s">
        <v>618</v>
      </c>
      <c r="I127">
        <v>1</v>
      </c>
      <c r="J127" t="s">
        <v>25</v>
      </c>
      <c r="M127" t="s">
        <v>26</v>
      </c>
      <c r="N127" t="s">
        <v>318</v>
      </c>
      <c r="O127" t="s">
        <v>35</v>
      </c>
      <c r="T127" t="s">
        <v>384</v>
      </c>
      <c r="U127" t="s">
        <v>385</v>
      </c>
      <c r="AA127">
        <v>2013</v>
      </c>
      <c r="AB127">
        <v>2013</v>
      </c>
      <c r="AC127" s="24" t="s">
        <v>386</v>
      </c>
      <c r="AD127" t="s">
        <v>739</v>
      </c>
      <c r="AF127" t="s">
        <v>738</v>
      </c>
    </row>
    <row r="128" spans="1:56" ht="14.25" customHeight="1" x14ac:dyDescent="0.2">
      <c r="A128" t="s">
        <v>388</v>
      </c>
      <c r="B128" s="22" t="s">
        <v>576</v>
      </c>
      <c r="C128" t="s">
        <v>169</v>
      </c>
      <c r="D128" t="s">
        <v>388</v>
      </c>
      <c r="F128" t="s">
        <v>387</v>
      </c>
      <c r="G128" t="s">
        <v>378</v>
      </c>
      <c r="H128" t="s">
        <v>622</v>
      </c>
      <c r="I128">
        <v>1</v>
      </c>
      <c r="J128" t="s">
        <v>25</v>
      </c>
      <c r="K128" t="s">
        <v>389</v>
      </c>
      <c r="M128" t="s">
        <v>26</v>
      </c>
      <c r="N128" t="s">
        <v>318</v>
      </c>
      <c r="O128" t="s">
        <v>310</v>
      </c>
      <c r="T128" t="s">
        <v>390</v>
      </c>
      <c r="U128" t="s">
        <v>391</v>
      </c>
      <c r="AA128">
        <v>2021</v>
      </c>
      <c r="AB128">
        <v>2021</v>
      </c>
      <c r="AC128" s="25" t="s">
        <v>381</v>
      </c>
      <c r="AD128" t="s">
        <v>392</v>
      </c>
      <c r="AF128" t="s">
        <v>740</v>
      </c>
    </row>
    <row r="129" spans="1:32" ht="14.25" customHeight="1" x14ac:dyDescent="0.2">
      <c r="A129" t="s">
        <v>394</v>
      </c>
      <c r="B129" s="22" t="s">
        <v>576</v>
      </c>
      <c r="C129" t="s">
        <v>88</v>
      </c>
      <c r="D129" t="s">
        <v>394</v>
      </c>
      <c r="F129" t="s">
        <v>393</v>
      </c>
      <c r="G129" t="s">
        <v>378</v>
      </c>
      <c r="H129" t="s">
        <v>618</v>
      </c>
      <c r="I129">
        <v>1</v>
      </c>
      <c r="J129" t="s">
        <v>25</v>
      </c>
      <c r="K129" t="s">
        <v>395</v>
      </c>
      <c r="M129" t="s">
        <v>26</v>
      </c>
      <c r="N129" t="s">
        <v>318</v>
      </c>
      <c r="O129" t="s">
        <v>35</v>
      </c>
      <c r="T129" t="s">
        <v>396</v>
      </c>
      <c r="U129" t="s">
        <v>397</v>
      </c>
      <c r="AA129">
        <v>2021</v>
      </c>
      <c r="AB129">
        <v>2021</v>
      </c>
      <c r="AC129" s="25" t="s">
        <v>381</v>
      </c>
      <c r="AD129" t="s">
        <v>398</v>
      </c>
      <c r="AF129" t="s">
        <v>398</v>
      </c>
    </row>
    <row r="130" spans="1:32" ht="14.25" customHeight="1" x14ac:dyDescent="0.2">
      <c r="A130" t="s">
        <v>400</v>
      </c>
      <c r="B130" s="22" t="s">
        <v>576</v>
      </c>
      <c r="C130" t="s">
        <v>247</v>
      </c>
      <c r="D130" t="s">
        <v>400</v>
      </c>
      <c r="F130" t="s">
        <v>399</v>
      </c>
      <c r="G130" t="s">
        <v>401</v>
      </c>
      <c r="H130" t="s">
        <v>618</v>
      </c>
      <c r="I130">
        <v>1</v>
      </c>
      <c r="J130" t="s">
        <v>25</v>
      </c>
      <c r="K130" t="s">
        <v>402</v>
      </c>
      <c r="M130" t="s">
        <v>26</v>
      </c>
      <c r="N130" t="s">
        <v>318</v>
      </c>
      <c r="O130" t="s">
        <v>734</v>
      </c>
      <c r="T130" t="s">
        <v>403</v>
      </c>
      <c r="U130" t="s">
        <v>404</v>
      </c>
      <c r="AA130">
        <v>2024</v>
      </c>
      <c r="AB130">
        <v>2024</v>
      </c>
      <c r="AC130" s="24" t="s">
        <v>405</v>
      </c>
      <c r="AD130" t="s">
        <v>406</v>
      </c>
      <c r="AF130" t="s">
        <v>406</v>
      </c>
    </row>
    <row r="131" spans="1:32" ht="14.25" customHeight="1" x14ac:dyDescent="0.2">
      <c r="A131" t="s">
        <v>408</v>
      </c>
      <c r="B131" s="22" t="s">
        <v>576</v>
      </c>
      <c r="C131" t="s">
        <v>135</v>
      </c>
      <c r="D131" t="s">
        <v>408</v>
      </c>
      <c r="F131" t="s">
        <v>407</v>
      </c>
      <c r="G131" t="s">
        <v>378</v>
      </c>
      <c r="H131" t="s">
        <v>618</v>
      </c>
      <c r="I131">
        <v>1</v>
      </c>
      <c r="J131" t="s">
        <v>25</v>
      </c>
      <c r="M131" t="s">
        <v>26</v>
      </c>
      <c r="N131" t="s">
        <v>318</v>
      </c>
      <c r="O131" t="s">
        <v>264</v>
      </c>
      <c r="T131" t="s">
        <v>409</v>
      </c>
      <c r="U131" t="s">
        <v>409</v>
      </c>
      <c r="AA131">
        <v>2023</v>
      </c>
      <c r="AB131">
        <v>2023</v>
      </c>
      <c r="AC131" s="25" t="s">
        <v>381</v>
      </c>
      <c r="AD131" t="s">
        <v>410</v>
      </c>
      <c r="AF131" t="s">
        <v>410</v>
      </c>
    </row>
    <row r="132" spans="1:32" ht="14.25" customHeight="1" x14ac:dyDescent="0.2">
      <c r="A132" t="s">
        <v>412</v>
      </c>
      <c r="B132" s="22" t="s">
        <v>576</v>
      </c>
      <c r="C132" t="s">
        <v>128</v>
      </c>
      <c r="D132" t="s">
        <v>412</v>
      </c>
      <c r="F132" t="s">
        <v>411</v>
      </c>
      <c r="G132" t="s">
        <v>378</v>
      </c>
      <c r="H132" t="s">
        <v>622</v>
      </c>
      <c r="I132">
        <v>1</v>
      </c>
      <c r="J132" t="s">
        <v>25</v>
      </c>
      <c r="M132" t="s">
        <v>26</v>
      </c>
      <c r="N132" t="s">
        <v>318</v>
      </c>
      <c r="O132" t="s">
        <v>310</v>
      </c>
      <c r="T132" t="s">
        <v>413</v>
      </c>
      <c r="U132" t="s">
        <v>414</v>
      </c>
      <c r="AA132">
        <v>2021</v>
      </c>
      <c r="AB132">
        <v>2021</v>
      </c>
      <c r="AC132" s="24" t="s">
        <v>415</v>
      </c>
      <c r="AD132" t="s">
        <v>416</v>
      </c>
      <c r="AF132" t="s">
        <v>416</v>
      </c>
    </row>
    <row r="133" spans="1:32" ht="14.25" customHeight="1" x14ac:dyDescent="0.2">
      <c r="A133" t="s">
        <v>412</v>
      </c>
      <c r="B133" s="22" t="s">
        <v>576</v>
      </c>
      <c r="C133" t="s">
        <v>128</v>
      </c>
      <c r="D133" t="s">
        <v>412</v>
      </c>
      <c r="F133" t="s">
        <v>417</v>
      </c>
      <c r="G133" t="s">
        <v>378</v>
      </c>
      <c r="H133" t="s">
        <v>622</v>
      </c>
      <c r="I133">
        <v>1</v>
      </c>
      <c r="J133" t="s">
        <v>25</v>
      </c>
      <c r="K133" t="s">
        <v>418</v>
      </c>
      <c r="M133" t="s">
        <v>26</v>
      </c>
      <c r="N133" t="s">
        <v>318</v>
      </c>
      <c r="O133" t="s">
        <v>310</v>
      </c>
      <c r="T133" t="s">
        <v>419</v>
      </c>
      <c r="U133" t="s">
        <v>385</v>
      </c>
      <c r="AA133">
        <v>2022</v>
      </c>
      <c r="AB133">
        <v>2022</v>
      </c>
      <c r="AC133" s="25" t="s">
        <v>269</v>
      </c>
      <c r="AD133" t="s">
        <v>416</v>
      </c>
      <c r="AF133" t="s">
        <v>416</v>
      </c>
    </row>
    <row r="134" spans="1:32" ht="14.25" customHeight="1" x14ac:dyDescent="0.2">
      <c r="A134" t="s">
        <v>421</v>
      </c>
      <c r="B134" s="22" t="s">
        <v>576</v>
      </c>
      <c r="C134" t="s">
        <v>83</v>
      </c>
      <c r="D134" t="s">
        <v>421</v>
      </c>
      <c r="F134" t="s">
        <v>420</v>
      </c>
      <c r="G134" t="s">
        <v>315</v>
      </c>
      <c r="H134" t="s">
        <v>623</v>
      </c>
      <c r="I134">
        <v>1</v>
      </c>
      <c r="J134" t="s">
        <v>25</v>
      </c>
      <c r="K134" t="s">
        <v>422</v>
      </c>
      <c r="M134" t="s">
        <v>26</v>
      </c>
      <c r="N134" t="s">
        <v>318</v>
      </c>
      <c r="O134" t="s">
        <v>35</v>
      </c>
      <c r="T134" t="s">
        <v>423</v>
      </c>
      <c r="U134" t="s">
        <v>385</v>
      </c>
      <c r="AA134">
        <v>2021</v>
      </c>
      <c r="AB134">
        <v>2021</v>
      </c>
      <c r="AC134" s="25" t="s">
        <v>424</v>
      </c>
      <c r="AD134" t="s">
        <v>425</v>
      </c>
      <c r="AF134" t="s">
        <v>425</v>
      </c>
    </row>
    <row r="135" spans="1:32" ht="14.25" customHeight="1" x14ac:dyDescent="0.2">
      <c r="A135" t="s">
        <v>421</v>
      </c>
      <c r="B135" s="22" t="s">
        <v>576</v>
      </c>
      <c r="C135" t="s">
        <v>83</v>
      </c>
      <c r="D135" t="s">
        <v>421</v>
      </c>
      <c r="F135" t="s">
        <v>426</v>
      </c>
      <c r="G135" t="s">
        <v>315</v>
      </c>
      <c r="H135" t="s">
        <v>623</v>
      </c>
      <c r="I135">
        <v>1</v>
      </c>
      <c r="J135" t="s">
        <v>25</v>
      </c>
      <c r="K135" t="s">
        <v>427</v>
      </c>
      <c r="M135" t="s">
        <v>39</v>
      </c>
      <c r="N135" t="s">
        <v>318</v>
      </c>
      <c r="O135" t="s">
        <v>35</v>
      </c>
      <c r="T135" t="s">
        <v>428</v>
      </c>
      <c r="U135" t="s">
        <v>429</v>
      </c>
      <c r="AA135">
        <v>2023</v>
      </c>
      <c r="AB135">
        <v>2023</v>
      </c>
      <c r="AC135" s="24" t="s">
        <v>381</v>
      </c>
      <c r="AD135" t="s">
        <v>425</v>
      </c>
      <c r="AF135" t="s">
        <v>425</v>
      </c>
    </row>
    <row r="136" spans="1:32" ht="14.25" customHeight="1" x14ac:dyDescent="0.2">
      <c r="A136" t="s">
        <v>421</v>
      </c>
      <c r="B136" s="22" t="s">
        <v>576</v>
      </c>
      <c r="C136" t="s">
        <v>83</v>
      </c>
      <c r="D136" t="s">
        <v>421</v>
      </c>
      <c r="F136" t="s">
        <v>430</v>
      </c>
      <c r="G136" t="s">
        <v>315</v>
      </c>
      <c r="H136" t="s">
        <v>623</v>
      </c>
      <c r="I136">
        <v>1</v>
      </c>
      <c r="J136" t="s">
        <v>25</v>
      </c>
      <c r="K136" t="s">
        <v>431</v>
      </c>
      <c r="M136" t="s">
        <v>39</v>
      </c>
      <c r="N136" t="s">
        <v>318</v>
      </c>
      <c r="O136" t="s">
        <v>35</v>
      </c>
      <c r="T136" t="s">
        <v>432</v>
      </c>
      <c r="U136" t="s">
        <v>433</v>
      </c>
      <c r="AA136">
        <v>2023</v>
      </c>
      <c r="AB136">
        <v>2023</v>
      </c>
      <c r="AC136" s="25" t="s">
        <v>415</v>
      </c>
      <c r="AD136" t="s">
        <v>425</v>
      </c>
      <c r="AF136" t="s">
        <v>425</v>
      </c>
    </row>
    <row r="137" spans="1:32" ht="14.25" customHeight="1" x14ac:dyDescent="0.2">
      <c r="A137" t="s">
        <v>435</v>
      </c>
      <c r="B137" s="22" t="s">
        <v>576</v>
      </c>
      <c r="C137" t="s">
        <v>169</v>
      </c>
      <c r="D137" t="s">
        <v>435</v>
      </c>
      <c r="F137" t="s">
        <v>434</v>
      </c>
      <c r="G137" t="s">
        <v>315</v>
      </c>
      <c r="H137" t="s">
        <v>618</v>
      </c>
      <c r="I137">
        <v>1</v>
      </c>
      <c r="J137" t="s">
        <v>25</v>
      </c>
      <c r="K137" t="s">
        <v>389</v>
      </c>
      <c r="M137" t="s">
        <v>26</v>
      </c>
      <c r="N137" t="s">
        <v>318</v>
      </c>
      <c r="O137" t="s">
        <v>436</v>
      </c>
      <c r="T137" t="s">
        <v>437</v>
      </c>
      <c r="U137" t="s">
        <v>438</v>
      </c>
      <c r="AA137">
        <v>2020</v>
      </c>
      <c r="AB137">
        <v>2020</v>
      </c>
      <c r="AC137" s="24" t="s">
        <v>439</v>
      </c>
      <c r="AD137" t="s">
        <v>742</v>
      </c>
      <c r="AF137" t="s">
        <v>742</v>
      </c>
    </row>
    <row r="138" spans="1:32" ht="14.25" customHeight="1" x14ac:dyDescent="0.2">
      <c r="A138" t="s">
        <v>441</v>
      </c>
      <c r="B138" s="22" t="s">
        <v>576</v>
      </c>
      <c r="C138" t="s">
        <v>20</v>
      </c>
      <c r="D138" t="s">
        <v>441</v>
      </c>
      <c r="F138" t="s">
        <v>440</v>
      </c>
      <c r="G138" t="s">
        <v>442</v>
      </c>
      <c r="H138" t="s">
        <v>624</v>
      </c>
      <c r="I138">
        <v>1</v>
      </c>
      <c r="J138" t="s">
        <v>25</v>
      </c>
      <c r="K138" t="s">
        <v>395</v>
      </c>
      <c r="M138" t="s">
        <v>26</v>
      </c>
      <c r="N138" t="s">
        <v>318</v>
      </c>
      <c r="O138" t="s">
        <v>734</v>
      </c>
      <c r="T138" t="s">
        <v>443</v>
      </c>
      <c r="U138" t="s">
        <v>444</v>
      </c>
      <c r="AA138">
        <v>2019</v>
      </c>
      <c r="AB138">
        <v>2019</v>
      </c>
      <c r="AC138" s="25" t="s">
        <v>381</v>
      </c>
      <c r="AD138" t="s">
        <v>445</v>
      </c>
      <c r="AF138" t="s">
        <v>743</v>
      </c>
    </row>
    <row r="139" spans="1:32" ht="14.25" customHeight="1" x14ac:dyDescent="0.2">
      <c r="A139" t="s">
        <v>441</v>
      </c>
      <c r="B139" s="22" t="s">
        <v>576</v>
      </c>
      <c r="C139" t="s">
        <v>20</v>
      </c>
      <c r="D139" t="s">
        <v>441</v>
      </c>
      <c r="F139" t="s">
        <v>446</v>
      </c>
      <c r="G139" t="s">
        <v>315</v>
      </c>
      <c r="H139" t="s">
        <v>624</v>
      </c>
      <c r="I139">
        <v>1</v>
      </c>
      <c r="J139" t="s">
        <v>25</v>
      </c>
      <c r="K139" t="s">
        <v>395</v>
      </c>
      <c r="M139" t="s">
        <v>26</v>
      </c>
      <c r="N139" t="s">
        <v>318</v>
      </c>
      <c r="O139" t="s">
        <v>734</v>
      </c>
      <c r="T139" t="s">
        <v>447</v>
      </c>
      <c r="U139" t="s">
        <v>448</v>
      </c>
      <c r="AA139">
        <v>2022</v>
      </c>
      <c r="AB139">
        <v>2022</v>
      </c>
      <c r="AC139" s="24" t="s">
        <v>381</v>
      </c>
      <c r="AD139" t="s">
        <v>449</v>
      </c>
      <c r="AF139" t="s">
        <v>744</v>
      </c>
    </row>
    <row r="140" spans="1:32" ht="14.25" customHeight="1" x14ac:dyDescent="0.2">
      <c r="A140" t="s">
        <v>450</v>
      </c>
      <c r="B140" s="22" t="s">
        <v>576</v>
      </c>
      <c r="C140" t="s">
        <v>88</v>
      </c>
      <c r="D140" t="s">
        <v>450</v>
      </c>
      <c r="F140" t="s">
        <v>450</v>
      </c>
      <c r="G140" t="s">
        <v>315</v>
      </c>
      <c r="H140" t="s">
        <v>625</v>
      </c>
      <c r="I140">
        <v>1</v>
      </c>
      <c r="J140" t="s">
        <v>25</v>
      </c>
      <c r="K140" t="s">
        <v>395</v>
      </c>
      <c r="M140" t="s">
        <v>26</v>
      </c>
      <c r="N140" t="s">
        <v>318</v>
      </c>
      <c r="O140" t="s">
        <v>734</v>
      </c>
      <c r="T140" t="s">
        <v>403</v>
      </c>
      <c r="U140" t="s">
        <v>443</v>
      </c>
      <c r="AA140">
        <v>2022</v>
      </c>
      <c r="AB140">
        <v>2022</v>
      </c>
      <c r="AC140" s="25" t="s">
        <v>451</v>
      </c>
      <c r="AD140" t="s">
        <v>452</v>
      </c>
      <c r="AF140" t="s">
        <v>452</v>
      </c>
    </row>
    <row r="141" spans="1:32" ht="14.25" customHeight="1" x14ac:dyDescent="0.2">
      <c r="A141" t="s">
        <v>453</v>
      </c>
      <c r="B141" s="22" t="s">
        <v>576</v>
      </c>
      <c r="C141" t="s">
        <v>135</v>
      </c>
      <c r="D141" t="s">
        <v>453</v>
      </c>
      <c r="F141" t="s">
        <v>453</v>
      </c>
      <c r="G141" t="s">
        <v>315</v>
      </c>
      <c r="H141" t="s">
        <v>626</v>
      </c>
      <c r="I141">
        <v>1</v>
      </c>
      <c r="J141" t="s">
        <v>25</v>
      </c>
      <c r="K141" t="s">
        <v>454</v>
      </c>
      <c r="M141" t="s">
        <v>26</v>
      </c>
      <c r="N141" t="s">
        <v>318</v>
      </c>
      <c r="O141" t="s">
        <v>264</v>
      </c>
      <c r="T141" t="s">
        <v>455</v>
      </c>
      <c r="U141" t="s">
        <v>456</v>
      </c>
      <c r="AA141">
        <v>2024</v>
      </c>
      <c r="AB141">
        <v>2024</v>
      </c>
      <c r="AC141" s="24" t="s">
        <v>457</v>
      </c>
      <c r="AD141" t="s">
        <v>458</v>
      </c>
      <c r="AF141" t="s">
        <v>458</v>
      </c>
    </row>
    <row r="142" spans="1:32" ht="14.25" customHeight="1" x14ac:dyDescent="0.2">
      <c r="A142" t="s">
        <v>460</v>
      </c>
      <c r="B142" s="22" t="s">
        <v>576</v>
      </c>
      <c r="C142" t="s">
        <v>169</v>
      </c>
      <c r="D142" t="s">
        <v>460</v>
      </c>
      <c r="F142" t="s">
        <v>459</v>
      </c>
      <c r="G142" t="s">
        <v>315</v>
      </c>
      <c r="H142" t="s">
        <v>627</v>
      </c>
      <c r="I142">
        <v>1</v>
      </c>
      <c r="J142" t="s">
        <v>25</v>
      </c>
      <c r="K142" t="s">
        <v>461</v>
      </c>
      <c r="M142" t="s">
        <v>26</v>
      </c>
      <c r="N142" t="s">
        <v>318</v>
      </c>
      <c r="O142" t="s">
        <v>734</v>
      </c>
      <c r="T142" t="s">
        <v>462</v>
      </c>
      <c r="U142" t="s">
        <v>463</v>
      </c>
      <c r="AA142">
        <v>2024</v>
      </c>
      <c r="AB142">
        <v>2024</v>
      </c>
      <c r="AC142" s="25" t="s">
        <v>464</v>
      </c>
      <c r="AD142" t="s">
        <v>465</v>
      </c>
      <c r="AF142" t="s">
        <v>465</v>
      </c>
    </row>
    <row r="143" spans="1:32" ht="14.25" customHeight="1" x14ac:dyDescent="0.2">
      <c r="A143" t="s">
        <v>466</v>
      </c>
      <c r="B143" s="22" t="s">
        <v>576</v>
      </c>
      <c r="C143" t="s">
        <v>247</v>
      </c>
      <c r="D143" t="s">
        <v>466</v>
      </c>
      <c r="F143" t="s">
        <v>466</v>
      </c>
      <c r="G143" t="s">
        <v>467</v>
      </c>
      <c r="H143" t="s">
        <v>626</v>
      </c>
      <c r="I143">
        <v>1</v>
      </c>
      <c r="J143" t="s">
        <v>25</v>
      </c>
      <c r="K143" t="s">
        <v>468</v>
      </c>
      <c r="M143" t="s">
        <v>26</v>
      </c>
      <c r="N143" t="s">
        <v>318</v>
      </c>
      <c r="O143" t="s">
        <v>35</v>
      </c>
      <c r="T143" t="s">
        <v>469</v>
      </c>
      <c r="U143" t="s">
        <v>469</v>
      </c>
      <c r="AA143">
        <v>2018</v>
      </c>
      <c r="AB143">
        <v>2018</v>
      </c>
      <c r="AC143" s="24" t="s">
        <v>470</v>
      </c>
      <c r="AD143" t="s">
        <v>471</v>
      </c>
      <c r="AF143" t="s">
        <v>471</v>
      </c>
    </row>
    <row r="144" spans="1:32" ht="14.25" customHeight="1" x14ac:dyDescent="0.2">
      <c r="A144" t="s">
        <v>472</v>
      </c>
      <c r="B144" s="22" t="s">
        <v>576</v>
      </c>
      <c r="C144" t="s">
        <v>129</v>
      </c>
      <c r="D144" t="s">
        <v>472</v>
      </c>
      <c r="F144" t="s">
        <v>472</v>
      </c>
      <c r="G144" t="s">
        <v>473</v>
      </c>
      <c r="H144" t="s">
        <v>626</v>
      </c>
      <c r="I144">
        <v>1</v>
      </c>
      <c r="J144" t="s">
        <v>25</v>
      </c>
      <c r="K144" t="s">
        <v>474</v>
      </c>
      <c r="M144" t="s">
        <v>26</v>
      </c>
      <c r="N144" t="s">
        <v>318</v>
      </c>
      <c r="O144" t="s">
        <v>734</v>
      </c>
      <c r="T144" t="s">
        <v>475</v>
      </c>
      <c r="U144" t="s">
        <v>476</v>
      </c>
      <c r="AA144">
        <v>2024</v>
      </c>
      <c r="AB144">
        <v>2024</v>
      </c>
      <c r="AC144" s="25" t="s">
        <v>451</v>
      </c>
      <c r="AD144" t="s">
        <v>477</v>
      </c>
      <c r="AF144" t="s">
        <v>477</v>
      </c>
    </row>
    <row r="145" spans="1:33" ht="14.25" customHeight="1" x14ac:dyDescent="0.2">
      <c r="A145" t="s">
        <v>478</v>
      </c>
      <c r="B145" s="22" t="s">
        <v>576</v>
      </c>
      <c r="C145" t="s">
        <v>169</v>
      </c>
      <c r="D145" t="s">
        <v>478</v>
      </c>
      <c r="E145" t="s">
        <v>697</v>
      </c>
      <c r="F145" t="s">
        <v>478</v>
      </c>
      <c r="G145" t="s">
        <v>315</v>
      </c>
      <c r="H145" t="s">
        <v>627</v>
      </c>
      <c r="I145">
        <v>1</v>
      </c>
      <c r="J145" t="s">
        <v>25</v>
      </c>
      <c r="K145" t="s">
        <v>461</v>
      </c>
      <c r="M145" t="s">
        <v>26</v>
      </c>
      <c r="N145" t="s">
        <v>318</v>
      </c>
      <c r="O145" t="s">
        <v>734</v>
      </c>
      <c r="T145" t="s">
        <v>479</v>
      </c>
      <c r="U145" t="s">
        <v>480</v>
      </c>
      <c r="AA145">
        <v>2021</v>
      </c>
      <c r="AB145">
        <v>2021</v>
      </c>
      <c r="AC145" s="24" t="s">
        <v>451</v>
      </c>
      <c r="AD145" t="s">
        <v>741</v>
      </c>
      <c r="AF145" t="s">
        <v>741</v>
      </c>
    </row>
    <row r="146" spans="1:33" ht="14.25" customHeight="1" x14ac:dyDescent="0.2">
      <c r="A146" t="s">
        <v>441</v>
      </c>
      <c r="B146" s="22" t="s">
        <v>576</v>
      </c>
      <c r="C146" t="s">
        <v>20</v>
      </c>
      <c r="D146" t="s">
        <v>441</v>
      </c>
      <c r="F146" t="s">
        <v>481</v>
      </c>
      <c r="G146" t="s">
        <v>315</v>
      </c>
      <c r="H146" t="s">
        <v>624</v>
      </c>
      <c r="I146">
        <v>1</v>
      </c>
      <c r="J146" t="s">
        <v>25</v>
      </c>
      <c r="K146" t="s">
        <v>395</v>
      </c>
      <c r="M146" t="s">
        <v>26</v>
      </c>
      <c r="N146" t="s">
        <v>318</v>
      </c>
      <c r="O146" t="s">
        <v>734</v>
      </c>
      <c r="T146" t="s">
        <v>482</v>
      </c>
      <c r="U146" t="s">
        <v>483</v>
      </c>
      <c r="AA146">
        <v>2021</v>
      </c>
      <c r="AB146">
        <v>2021</v>
      </c>
      <c r="AC146" s="25" t="s">
        <v>451</v>
      </c>
      <c r="AD146" t="s">
        <v>484</v>
      </c>
      <c r="AF146" t="s">
        <v>484</v>
      </c>
    </row>
    <row r="147" spans="1:33" ht="14.25" customHeight="1" x14ac:dyDescent="0.2">
      <c r="A147" t="s">
        <v>485</v>
      </c>
      <c r="B147" s="22" t="s">
        <v>576</v>
      </c>
      <c r="C147" t="s">
        <v>47</v>
      </c>
      <c r="D147" t="s">
        <v>485</v>
      </c>
      <c r="F147" t="s">
        <v>485</v>
      </c>
      <c r="G147" t="s">
        <v>315</v>
      </c>
      <c r="H147" t="s">
        <v>627</v>
      </c>
      <c r="I147">
        <v>1</v>
      </c>
      <c r="J147" t="s">
        <v>25</v>
      </c>
      <c r="K147" t="s">
        <v>486</v>
      </c>
      <c r="M147" t="s">
        <v>26</v>
      </c>
      <c r="N147" t="s">
        <v>318</v>
      </c>
      <c r="O147" t="s">
        <v>734</v>
      </c>
      <c r="T147" t="s">
        <v>487</v>
      </c>
      <c r="U147" t="s">
        <v>403</v>
      </c>
      <c r="AA147">
        <v>2024</v>
      </c>
      <c r="AB147">
        <v>2024</v>
      </c>
      <c r="AC147" s="24" t="s">
        <v>488</v>
      </c>
      <c r="AD147" t="s">
        <v>465</v>
      </c>
      <c r="AF147" t="s">
        <v>465</v>
      </c>
    </row>
    <row r="148" spans="1:33" ht="14.25" customHeight="1" x14ac:dyDescent="0.2">
      <c r="A148" t="s">
        <v>489</v>
      </c>
      <c r="B148" s="22" t="s">
        <v>576</v>
      </c>
      <c r="C148" t="s">
        <v>20</v>
      </c>
      <c r="D148" t="s">
        <v>489</v>
      </c>
      <c r="F148" t="s">
        <v>489</v>
      </c>
      <c r="G148" t="s">
        <v>315</v>
      </c>
      <c r="H148" t="s">
        <v>628</v>
      </c>
      <c r="I148">
        <v>1</v>
      </c>
      <c r="J148" t="s">
        <v>25</v>
      </c>
      <c r="K148" t="s">
        <v>490</v>
      </c>
      <c r="M148" t="s">
        <v>26</v>
      </c>
      <c r="N148" t="s">
        <v>318</v>
      </c>
      <c r="O148" t="s">
        <v>734</v>
      </c>
      <c r="T148" t="s">
        <v>384</v>
      </c>
      <c r="U148" t="s">
        <v>491</v>
      </c>
      <c r="AA148">
        <v>2019</v>
      </c>
      <c r="AB148">
        <v>2019</v>
      </c>
      <c r="AC148" s="25" t="s">
        <v>464</v>
      </c>
      <c r="AD148" t="s">
        <v>492</v>
      </c>
      <c r="AF148" t="s">
        <v>492</v>
      </c>
    </row>
    <row r="149" spans="1:33" ht="14.25" customHeight="1" x14ac:dyDescent="0.2">
      <c r="A149" t="s">
        <v>460</v>
      </c>
      <c r="B149" s="22" t="s">
        <v>576</v>
      </c>
      <c r="C149" t="s">
        <v>169</v>
      </c>
      <c r="D149" t="s">
        <v>460</v>
      </c>
      <c r="E149" t="s">
        <v>697</v>
      </c>
      <c r="F149" t="s">
        <v>460</v>
      </c>
      <c r="G149" t="s">
        <v>493</v>
      </c>
      <c r="H149" t="s">
        <v>627</v>
      </c>
      <c r="I149">
        <v>1</v>
      </c>
      <c r="J149" t="s">
        <v>25</v>
      </c>
      <c r="K149" t="s">
        <v>461</v>
      </c>
      <c r="M149" t="s">
        <v>26</v>
      </c>
      <c r="N149" t="s">
        <v>318</v>
      </c>
      <c r="O149" t="s">
        <v>734</v>
      </c>
      <c r="T149" t="s">
        <v>494</v>
      </c>
      <c r="U149" t="s">
        <v>495</v>
      </c>
      <c r="AA149">
        <v>2023</v>
      </c>
      <c r="AB149">
        <v>2023</v>
      </c>
      <c r="AC149" s="24" t="s">
        <v>381</v>
      </c>
      <c r="AD149" t="s">
        <v>746</v>
      </c>
      <c r="AF149" t="s">
        <v>745</v>
      </c>
    </row>
    <row r="150" spans="1:33" ht="14.25" customHeight="1" x14ac:dyDescent="0.2">
      <c r="A150" t="s">
        <v>496</v>
      </c>
      <c r="B150" s="22" t="s">
        <v>576</v>
      </c>
      <c r="C150" t="s">
        <v>20</v>
      </c>
      <c r="D150" t="s">
        <v>496</v>
      </c>
      <c r="F150" t="s">
        <v>496</v>
      </c>
      <c r="G150" t="s">
        <v>315</v>
      </c>
      <c r="H150" t="s">
        <v>629</v>
      </c>
      <c r="I150">
        <v>1</v>
      </c>
      <c r="J150" t="s">
        <v>25</v>
      </c>
      <c r="K150" t="s">
        <v>490</v>
      </c>
      <c r="M150" t="s">
        <v>26</v>
      </c>
      <c r="N150" t="s">
        <v>318</v>
      </c>
      <c r="O150" t="s">
        <v>735</v>
      </c>
      <c r="T150" t="s">
        <v>497</v>
      </c>
      <c r="U150" t="s">
        <v>498</v>
      </c>
      <c r="AA150">
        <v>2019</v>
      </c>
      <c r="AB150">
        <v>2019</v>
      </c>
      <c r="AC150" s="25" t="s">
        <v>451</v>
      </c>
      <c r="AD150" t="s">
        <v>747</v>
      </c>
      <c r="AF150" t="s">
        <v>747</v>
      </c>
    </row>
    <row r="151" spans="1:33" ht="14.25" customHeight="1" x14ac:dyDescent="0.2">
      <c r="A151" t="s">
        <v>499</v>
      </c>
      <c r="B151" s="22" t="s">
        <v>576</v>
      </c>
      <c r="C151" t="s">
        <v>88</v>
      </c>
      <c r="D151" t="s">
        <v>499</v>
      </c>
      <c r="F151" t="s">
        <v>499</v>
      </c>
      <c r="G151" t="s">
        <v>315</v>
      </c>
      <c r="H151" t="s">
        <v>630</v>
      </c>
      <c r="I151">
        <v>1</v>
      </c>
      <c r="J151" t="s">
        <v>25</v>
      </c>
      <c r="K151" t="s">
        <v>490</v>
      </c>
      <c r="M151" t="s">
        <v>26</v>
      </c>
      <c r="N151" t="s">
        <v>318</v>
      </c>
      <c r="O151" t="s">
        <v>734</v>
      </c>
      <c r="T151" t="s">
        <v>500</v>
      </c>
      <c r="U151" t="s">
        <v>501</v>
      </c>
      <c r="AA151">
        <v>2023</v>
      </c>
      <c r="AB151">
        <v>2023</v>
      </c>
      <c r="AC151" s="24" t="s">
        <v>502</v>
      </c>
      <c r="AD151" t="s">
        <v>749</v>
      </c>
      <c r="AF151" t="s">
        <v>748</v>
      </c>
    </row>
    <row r="152" spans="1:33" ht="14.25" customHeight="1" x14ac:dyDescent="0.2">
      <c r="A152" t="s">
        <v>504</v>
      </c>
      <c r="B152" s="22" t="s">
        <v>576</v>
      </c>
      <c r="C152" t="s">
        <v>78</v>
      </c>
      <c r="D152" t="s">
        <v>504</v>
      </c>
      <c r="F152" t="s">
        <v>503</v>
      </c>
      <c r="G152" t="s">
        <v>315</v>
      </c>
      <c r="H152" t="s">
        <v>631</v>
      </c>
      <c r="I152">
        <v>1</v>
      </c>
      <c r="J152" t="s">
        <v>25</v>
      </c>
      <c r="K152" t="s">
        <v>505</v>
      </c>
      <c r="M152" t="s">
        <v>26</v>
      </c>
      <c r="N152" t="s">
        <v>318</v>
      </c>
      <c r="O152" t="s">
        <v>734</v>
      </c>
      <c r="T152" t="s">
        <v>506</v>
      </c>
      <c r="U152" t="s">
        <v>507</v>
      </c>
      <c r="AA152">
        <v>2021</v>
      </c>
      <c r="AB152">
        <v>2021</v>
      </c>
      <c r="AC152" s="25" t="s">
        <v>381</v>
      </c>
      <c r="AD152" t="s">
        <v>751</v>
      </c>
      <c r="AF152" t="s">
        <v>750</v>
      </c>
    </row>
    <row r="153" spans="1:33" ht="14.25" customHeight="1" x14ac:dyDescent="0.2">
      <c r="A153" t="s">
        <v>508</v>
      </c>
      <c r="B153" s="22" t="s">
        <v>576</v>
      </c>
      <c r="C153" t="s">
        <v>78</v>
      </c>
      <c r="D153" t="s">
        <v>508</v>
      </c>
      <c r="E153" t="s">
        <v>755</v>
      </c>
      <c r="F153" t="s">
        <v>508</v>
      </c>
      <c r="G153" t="s">
        <v>315</v>
      </c>
      <c r="H153" t="s">
        <v>631</v>
      </c>
      <c r="I153">
        <v>1</v>
      </c>
      <c r="J153" t="s">
        <v>25</v>
      </c>
      <c r="K153" t="s">
        <v>505</v>
      </c>
      <c r="M153" t="s">
        <v>26</v>
      </c>
      <c r="N153" t="s">
        <v>318</v>
      </c>
      <c r="O153" t="s">
        <v>35</v>
      </c>
      <c r="T153" t="s">
        <v>509</v>
      </c>
      <c r="U153" t="s">
        <v>510</v>
      </c>
      <c r="AA153">
        <v>2022</v>
      </c>
      <c r="AB153">
        <v>2022</v>
      </c>
      <c r="AC153" s="25" t="s">
        <v>381</v>
      </c>
      <c r="AD153" t="s">
        <v>754</v>
      </c>
      <c r="AF153" t="s">
        <v>752</v>
      </c>
      <c r="AG153" s="15" t="s">
        <v>753</v>
      </c>
    </row>
    <row r="154" spans="1:33" ht="13.25" customHeight="1" x14ac:dyDescent="0.2">
      <c r="B154" s="22"/>
      <c r="N154" s="23"/>
      <c r="AC154" s="24"/>
    </row>
  </sheetData>
  <phoneticPr fontId="13" type="noConversion"/>
  <hyperlinks>
    <hyperlink ref="AF44" r:id="rId1" xr:uid="{CFA5EA85-7DC8-42EB-9847-88B5A972004D}"/>
    <hyperlink ref="AD46" r:id="rId2" xr:uid="{8AA6965E-4C90-41B0-A0E0-9AC9C33B871F}"/>
    <hyperlink ref="AD48" r:id="rId3" xr:uid="{446218AD-AD1F-44F3-87EA-7C01ADD336AE}"/>
    <hyperlink ref="AF50" r:id="rId4" xr:uid="{1CF668F5-5470-47D6-BA43-91D89D3B645B}"/>
    <hyperlink ref="AF51" r:id="rId5" xr:uid="{3F930189-1347-48B0-A67E-79B43333C9AF}"/>
    <hyperlink ref="AD52" r:id="rId6" xr:uid="{0A3FD528-91B5-4B67-8B6A-8FC8400440A9}"/>
    <hyperlink ref="AD55" r:id="rId7" location="/metadata/e5ee1252-858f-4c3e-8613-4bce7d304fb0" xr:uid="{9A6EC95D-5585-4455-83F8-B518B3DB25D9}"/>
    <hyperlink ref="AF49" r:id="rId8" display="https://www.lgln.niedersachsen.de/startseite/geodaten_karten/3d_geobasisdaten/3d_messdaten/3d-messdaten-142870.html" xr:uid="{AE776451-AEAC-49A3-922F-048CAD2DE3E6}"/>
    <hyperlink ref="AF29" r:id="rId9" xr:uid="{74BFA2E4-A94A-49A7-AFF2-8E5CB4ACB207}"/>
    <hyperlink ref="AF34" r:id="rId10" xr:uid="{B7CAF5FD-EFC0-43C1-B044-8871A20C5DDD}"/>
    <hyperlink ref="AF37" r:id="rId11" display="https://www.maanmittauslaitos.fi/en/maps-and-spatial-data/datasets-and-interfaces/product-descriptions/laser-scanning-data-5-p" xr:uid="{456A42B5-67E7-44FE-AEF5-885253845C2E}"/>
    <hyperlink ref="AF90" r:id="rId12" display="http://www.geoportal.gov.pl/" xr:uid="{E5D57098-D14E-4946-B13A-A6E83A3D9D18}"/>
    <hyperlink ref="AF91" r:id="rId13" xr:uid="{CD13DC54-41F2-4CF1-AFB3-9C4615C68E85}"/>
    <hyperlink ref="AF107" r:id="rId14" display="https://mapy.tuzvo.sk/HOFM/Default.aspx" xr:uid="{15A6DF30-3811-4303-9375-96A4B804DF5D}"/>
    <hyperlink ref="AF87" r:id="rId15" xr:uid="{4A989022-8F50-4BCE-AED9-A80DB141D2BB}"/>
    <hyperlink ref="AD88" r:id="rId16" xr:uid="{AC6BAC0E-0CA4-468D-95AA-6DF61DB6C516}"/>
    <hyperlink ref="AF63" r:id="rId17" xr:uid="{6E6C4691-D80A-4F8B-B16C-5B1FA945EC9B}"/>
    <hyperlink ref="AF62" r:id="rId18" xr:uid="{8A9CA878-9D50-4345-9CF6-15AE38D0E145}"/>
    <hyperlink ref="AF60" r:id="rId19" xr:uid="{1901DA5F-6236-49EB-A790-5BD37AC78A9D}"/>
    <hyperlink ref="AF119" r:id="rId20" xr:uid="{2CF31FC9-D426-4577-8B4E-001D2BDE6E16}"/>
    <hyperlink ref="AD69" r:id="rId21" xr:uid="{37ACB890-91DB-4992-A7AB-266CEA3AC5E4}"/>
    <hyperlink ref="AF115" r:id="rId22" xr:uid="{9E055614-619B-48FD-AE6E-99BB0E541902}"/>
    <hyperlink ref="G53" r:id="rId23" display="https://www.govdata.de/dl-de/by-2-0" xr:uid="{37FC9E95-4E44-4D1D-8FDC-5388A573B6F9}"/>
    <hyperlink ref="G54" r:id="rId24" display="https://www.govdata.de/dl-de/by-2-0" xr:uid="{BB08F31F-7ADD-4A27-99C9-A0F488DCCE3F}"/>
    <hyperlink ref="G52" r:id="rId25" display="https://www.govdata.de/dl-de/by-2-0" xr:uid="{CF6B21D7-FFC7-4BC9-83B3-90D0941264AE}"/>
    <hyperlink ref="G51" r:id="rId26" display="https://www.govdata.de/dl-de/by-2-0" xr:uid="{A2CCDEAF-987B-47F6-A2F0-95ECB6DDFAA8}"/>
    <hyperlink ref="G50" r:id="rId27" display="https://www.govdata.de/dl-de/by-2-0" xr:uid="{48558C8C-A636-410C-B334-82FE872911A9}"/>
    <hyperlink ref="G49" r:id="rId28" display="https://www.govdata.de/dl-de/by-2-0" xr:uid="{293C7D31-6514-486A-897A-25D1CD5AAF62}"/>
    <hyperlink ref="G47" r:id="rId29" display="https://www.govdata.de/dl-de/by-2-0" xr:uid="{16EACF28-80B3-43B4-B4AA-AC4EFD467824}"/>
    <hyperlink ref="G46" r:id="rId30" display="https://www.govdata.de/dl-de/by-2-0" xr:uid="{3122CD42-4355-4622-8A68-A12B9F6E3045}"/>
    <hyperlink ref="G44" r:id="rId31" display="https://www.govdata.de/dl-de/by-2-0" xr:uid="{6464113E-B491-45C1-A0F9-1BD65AF655D0}"/>
    <hyperlink ref="G42" r:id="rId32" display="https://www.govdata.de/dl-de/by-2-0" xr:uid="{B250339B-DB74-42B6-81D7-95421E19AB4B}"/>
    <hyperlink ref="G41" r:id="rId33" display="https://www.govdata.de/dl-de/by-2-0" xr:uid="{8115C004-E903-4AE1-ADDC-DED41AE10FBF}"/>
    <hyperlink ref="G55" r:id="rId34" display="https://www.govdata.de/dl-de/by-2-0" xr:uid="{FDFC5CB1-F77F-4C76-8252-5A1317E6AD29}"/>
    <hyperlink ref="AD11" r:id="rId35" xr:uid="{041516D3-6F71-4C75-85E1-D6153593A6AB}"/>
    <hyperlink ref="AF20" r:id="rId36" xr:uid="{D54A949E-2BBE-4138-853C-2949F6B70706}"/>
    <hyperlink ref="AF28" r:id="rId37" xr:uid="{EDA49BBE-8FCB-45AB-A321-A6A2F9792D47}"/>
    <hyperlink ref="AF33" r:id="rId38" xr:uid="{A07A76ED-F8B6-4CB0-A974-E6E3D94BFD77}"/>
    <hyperlink ref="AF32" r:id="rId39" xr:uid="{C7958B17-31EC-456E-906B-8FD8F250A239}"/>
    <hyperlink ref="AF31" r:id="rId40" xr:uid="{EAA56C18-E86C-4F18-96D6-16C7CC02F371}"/>
    <hyperlink ref="AF36" r:id="rId41" display="https://www.maanmittauslaitos.fi/en/maps-and-spatial-data/datasets-and-interfaces/product-descriptions/laser-scanning-data-5-p" xr:uid="{55A9F67A-59B0-4CC8-9953-5740956261BB}"/>
    <hyperlink ref="AF108" r:id="rId42" xr:uid="{5254DD38-3F9A-49D5-B2A2-C4806B8E80BC}"/>
    <hyperlink ref="AF112" r:id="rId43" xr:uid="{A6019805-FB14-42D4-8048-00808E12EA2F}"/>
    <hyperlink ref="AF111" r:id="rId44" xr:uid="{687006E3-EC1C-4C5C-8531-DF65457D08CF}"/>
    <hyperlink ref="AF110" r:id="rId45" xr:uid="{1539A9BF-BF94-4C6A-AAE8-73CA78396857}"/>
    <hyperlink ref="G114" r:id="rId46" xr:uid="{0FB69347-FF3F-4126-AB7F-E87780283DF5}"/>
    <hyperlink ref="AF118" r:id="rId47" xr:uid="{E5B8B4DE-6973-4B89-91DE-3E00F8AEFB59}"/>
    <hyperlink ref="E110" r:id="rId48" display="https://datos.gob.es/en/catalogo/conjuntos-datos?publisher_display_name=Centro+Nacional+de+Informaci%C3%B3n+Geogr%C3%A1fica" xr:uid="{7365ADBD-5ACE-45AD-885F-A74F00BE2BE4}"/>
    <hyperlink ref="E111" r:id="rId49" display="https://datos.gob.es/en/catalogo/conjuntos-datos?publisher_display_name=Centro+Nacional+de+Informaci%C3%B3n+Geogr%C3%A1fica" xr:uid="{09A02776-ABBD-4C52-9683-5D6F6E3BF499}"/>
    <hyperlink ref="E112" r:id="rId50" display="https://datos.gob.es/en/catalogo/conjuntos-datos?publisher_display_name=Centro+Nacional+de+Informaci%C3%B3n+Geogr%C3%A1fica" xr:uid="{08C75D73-238F-47DC-8A31-84B2B494A654}"/>
    <hyperlink ref="AD45" r:id="rId51" xr:uid="{4502036E-C7F2-4430-A59C-55FFB0498561}"/>
    <hyperlink ref="AF45" r:id="rId52" display="https://www.geo.bremen.de/produkte/3d-produkte/hoehenmodelle-12482" xr:uid="{B7ACF26F-4695-4981-AAFB-8435C1D243BD}"/>
    <hyperlink ref="AF46" r:id="rId53" display="https://geoportal-hamburg.de/?mdid=A39B4E86-15E2-4BF7-BA82-66F9913D5640" xr:uid="{918D13B2-ACEB-4FF0-9962-84564036F47F}"/>
    <hyperlink ref="AD47" r:id="rId54" display="https://hvbg.hessen.de/landesvermessung/geotopographie/3d-daten" xr:uid="{960E7911-96C4-4210-8E78-59AC590462BC}"/>
    <hyperlink ref="AF47" r:id="rId55" display="https://hvbg.hessen.de/landesvermessung/geotopographie/3d-daten/airborne-laserscanning" xr:uid="{A68935A3-C691-4FA8-8CDF-E346695D1AA0}"/>
    <hyperlink ref="AF48" r:id="rId56" display="https://laiv.geodaten-mv.de/afgvk/Geotopographie/Beschreibung?produkt=DGM" xr:uid="{59781102-C76D-403B-A1DE-0AF806743BA7}"/>
    <hyperlink ref="AD50" r:id="rId57" display="https://www.bezreg-koeln.nrw.de/geobasis-nrw/produkte-und-dienste/hoehenmodelle/3d-messdaten" xr:uid="{31C7E9D2-1DC2-4D88-BF86-8DE5D94FA08F}"/>
    <hyperlink ref="AD51" r:id="rId58" display="https://lvermgeo.rlp.de/fileadmin/lvermgeo/pdf/produktblaetter/Laserpunkte.pdf" xr:uid="{7F03C2B5-A2AD-445B-A6C9-6D66713B6B45}"/>
    <hyperlink ref="E46" r:id="rId59" tooltip="Landesbetrieb Geoinformation und Vermessung (LGV) Hamburg" display="https://metaver.de/trefferanzeige?docuuid=F5A1078F-25C2-4111-B497-877CDCACD9D5&amp;isAddress=true" xr:uid="{D2056086-CB59-4408-9629-A60CE9BDBF6E}"/>
    <hyperlink ref="AF52" r:id="rId60" display="https://www.shop.lvgl.saarland.de/mogi3d/" xr:uid="{A91A4D93-B8C2-435C-94E6-D7EC9E42F2CC}"/>
    <hyperlink ref="AD53" r:id="rId61" display="https://www.landesvermessung.sachsen.de/hoehen-und-3d-stadtmodelle-8641.html" xr:uid="{79DA967D-B23C-4603-B495-CDCB4EBFA731}"/>
    <hyperlink ref="AF53" r:id="rId62" display="https://www.landesvermessung.sachsen.de/download-dienste-und-testdaten-8647.html" xr:uid="{06A21756-C57E-45D0-9F28-4B33051712DF}"/>
    <hyperlink ref="AD54" r:id="rId63" display="https://www.lvermgeo.sachsen-anhalt.de/de/gdp-3d-messdaten.html" xr:uid="{31CB0E60-5735-46A9-A6B1-DD16F449AF0F}"/>
    <hyperlink ref="AF54" r:id="rId64" display="https://www.lvermgeo.sachsen-anhalt.de/de/gdp-open-data.html" xr:uid="{EAB526EA-6D93-4E0B-BB49-120EA6EF844A}"/>
    <hyperlink ref="AF55" r:id="rId65" location="/metadata/263977c3-2684-4335-b55a-992b8c0fd054" display="https://gdk.gdi-de.org/geonetwork/srv/eng/catalog.search - /metadata/263977c3-2684-4335-b55a-992b8c0fd054" xr:uid="{BD23C9A1-CAF3-456B-976F-580AD6CF46B9}"/>
    <hyperlink ref="E55" r:id="rId66" display="https://www.gdi-sh.de/gdish/DE/AufgabenZiele/SHMIS.html" xr:uid="{04DBF5A2-4071-430E-B01F-1DDF71F0B8AF}"/>
    <hyperlink ref="AF58" r:id="rId67" display="https://geoportal.thueringen.de/gdi-th/download-offene-geodaten/download-hoehendaten" xr:uid="{14DBEA92-4DD7-4716-BB9F-D85ACA9A3235}"/>
    <hyperlink ref="AF57" r:id="rId68" display="https://geoportal.thueringen.de/gdi-th/download-offene-geodaten/download-hoehendaten" xr:uid="{DC2A07FF-E635-43BC-ADE5-B2CF445C7ACC}"/>
    <hyperlink ref="AF56" r:id="rId69" display="https://geoportal.thueringen.de/gdi-th/download-offene-geodaten/download-hoehendaten" xr:uid="{66F83B53-E6F9-4697-8F4A-E5FEB82307F6}"/>
    <hyperlink ref="AD66" r:id="rId70" xr:uid="{5FAA260C-E16D-4CF0-A3E0-6774F6F34E1B}"/>
    <hyperlink ref="E74" r:id="rId71" display="https://nzt.lrv.lt/lt/" xr:uid="{1463F21D-FA23-43DE-87FD-46E1C9AF52F9}"/>
    <hyperlink ref="E75" r:id="rId72" display="https://nzt.lrv.lt/lt/" xr:uid="{0FA839BC-F429-44BA-9F26-8ACE99F4ED06}"/>
  </hyperlinks>
  <pageMargins left="0.7" right="0.7" top="0.75" bottom="0.75" header="0.3" footer="0.3"/>
  <pageSetup paperSize="9" orientation="portrait" r:id="rId73"/>
</worksheet>
</file>

<file path=docMetadata/LabelInfo.xml><?xml version="1.0" encoding="utf-8"?>
<clbl:labelList xmlns:clbl="http://schemas.microsoft.com/office/2020/mipLabelMetadata">
  <clbl:label id="{ac843cea-7a2b-4dc6-9f37-919c3e210fed}" enabled="0" method="" siteId="{ac843cea-7a2b-4dc6-9f37-919c3e210fe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Quality_parameters_v12032026</vt:lpstr>
      <vt:lpstr>Quality_parameters_v12032026!_Toc202360145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Daan van der Heide</dc:creator>
  <cp:keywords/>
  <dc:description/>
  <cp:lastModifiedBy>Gina Stavropoulou</cp:lastModifiedBy>
  <cp:revision/>
  <dcterms:created xsi:type="dcterms:W3CDTF">2025-03-21T09:54:38Z</dcterms:created>
  <dcterms:modified xsi:type="dcterms:W3CDTF">2026-07-01T08:40:12Z</dcterms:modified>
  <cp:category/>
  <cp:contentStatus/>
</cp:coreProperties>
</file>