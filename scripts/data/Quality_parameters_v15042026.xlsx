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Daan\Documents\GitHub\Website_Open_Topography_EU\scripts\data\"/>
    </mc:Choice>
  </mc:AlternateContent>
  <xr:revisionPtr revIDLastSave="0" documentId="13_ncr:1_{CC1AA27D-C789-485B-A38A-BD6B8096C090}" xr6:coauthVersionLast="47" xr6:coauthVersionMax="47" xr10:uidLastSave="{00000000-0000-0000-0000-000000000000}"/>
  <bookViews>
    <workbookView xWindow="4920" yWindow="3255" windowWidth="28800" windowHeight="15240" xr2:uid="{4BC1C8BB-35EF-4D62-B165-EB1ACD4AD7A7}"/>
  </bookViews>
  <sheets>
    <sheet name="Quality_parameters_v12032026" sheetId="1" r:id="rId1"/>
  </sheets>
  <definedNames>
    <definedName name="_Toc202360145" localSheetId="0">Quality_parameters_v12032026!$AF$59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56" i="1" l="1"/>
  <c r="X56" i="1"/>
  <c r="V56" i="1"/>
  <c r="Z57" i="1"/>
  <c r="X57" i="1"/>
  <c r="V57" i="1"/>
  <c r="Z117" i="1"/>
  <c r="X117" i="1"/>
  <c r="V117" i="1"/>
  <c r="V113" i="1"/>
  <c r="Z109" i="1"/>
  <c r="X109" i="1"/>
  <c r="V109" i="1"/>
  <c r="Z110" i="1"/>
  <c r="X110" i="1"/>
  <c r="V110" i="1"/>
  <c r="Z111" i="1"/>
  <c r="X111" i="1"/>
  <c r="V111" i="1"/>
  <c r="Z107" i="1"/>
  <c r="X107" i="1"/>
  <c r="V107" i="1"/>
  <c r="Z115" i="1"/>
  <c r="X115" i="1"/>
  <c r="V115" i="1"/>
  <c r="Z38" i="1"/>
  <c r="X38" i="1"/>
  <c r="V38" i="1"/>
  <c r="Z39" i="1"/>
  <c r="X39" i="1"/>
  <c r="V39" i="1"/>
  <c r="Z36" i="1"/>
  <c r="X36" i="1"/>
  <c r="V36" i="1"/>
  <c r="Z31" i="1"/>
  <c r="X31" i="1"/>
  <c r="V31" i="1"/>
  <c r="Z32" i="1"/>
  <c r="X32" i="1"/>
  <c r="V32" i="1"/>
  <c r="Z33" i="1"/>
  <c r="X33" i="1"/>
  <c r="V33" i="1"/>
  <c r="Z28" i="1"/>
  <c r="X28" i="1"/>
  <c r="V28" i="1"/>
  <c r="Z85" i="1"/>
  <c r="X85" i="1"/>
  <c r="V85" i="1"/>
  <c r="Z80" i="1"/>
  <c r="X80" i="1"/>
  <c r="V80" i="1"/>
  <c r="Z81" i="1"/>
  <c r="X81" i="1"/>
  <c r="V81" i="1"/>
  <c r="Z82" i="1"/>
  <c r="X82" i="1"/>
  <c r="V82" i="1"/>
  <c r="Z83" i="1"/>
  <c r="X83" i="1"/>
  <c r="V83" i="1"/>
  <c r="Z21" i="1"/>
  <c r="X21" i="1"/>
  <c r="V21" i="1"/>
  <c r="Z13" i="1"/>
  <c r="X13" i="1"/>
  <c r="V13" i="1"/>
  <c r="Z12" i="1"/>
  <c r="X12" i="1"/>
  <c r="V12" i="1"/>
  <c r="Z54" i="1"/>
  <c r="X54" i="1"/>
  <c r="V54" i="1"/>
  <c r="Z6" i="1"/>
  <c r="X6" i="1"/>
  <c r="V6" i="1"/>
  <c r="Z7" i="1"/>
  <c r="X7" i="1"/>
  <c r="V7" i="1"/>
  <c r="V72" i="1"/>
  <c r="X72" i="1"/>
  <c r="Z60" i="1"/>
  <c r="X60" i="1"/>
  <c r="V60" i="1"/>
  <c r="Z120" i="1"/>
  <c r="X120" i="1"/>
  <c r="V120" i="1"/>
  <c r="V19" i="1"/>
  <c r="V20" i="1"/>
  <c r="V3" i="1"/>
  <c r="V4" i="1"/>
  <c r="V5" i="1"/>
  <c r="V8" i="1"/>
  <c r="V9" i="1"/>
  <c r="V10" i="1"/>
  <c r="V11" i="1"/>
  <c r="V14" i="1"/>
  <c r="V15" i="1"/>
  <c r="V16" i="1"/>
  <c r="V17" i="1"/>
  <c r="V18" i="1"/>
  <c r="V22" i="1"/>
  <c r="V23" i="1"/>
  <c r="V24" i="1"/>
  <c r="V25" i="1"/>
  <c r="V26" i="1"/>
  <c r="V27" i="1"/>
  <c r="V29" i="1"/>
  <c r="V30" i="1"/>
  <c r="V34" i="1"/>
  <c r="V37" i="1"/>
  <c r="V41" i="1"/>
  <c r="V42" i="1"/>
  <c r="V43" i="1"/>
  <c r="V44" i="1"/>
  <c r="V45" i="1"/>
  <c r="V46" i="1"/>
  <c r="V47" i="1"/>
  <c r="V48" i="1"/>
  <c r="V49" i="1"/>
  <c r="V50" i="1"/>
  <c r="V51" i="1"/>
  <c r="V52" i="1"/>
  <c r="V53" i="1"/>
  <c r="V55" i="1"/>
  <c r="V58" i="1"/>
  <c r="V40" i="1"/>
  <c r="V59" i="1"/>
  <c r="V61" i="1"/>
  <c r="V62" i="1"/>
  <c r="V63" i="1"/>
  <c r="V66" i="1"/>
  <c r="V67" i="1"/>
  <c r="V68" i="1"/>
  <c r="V69" i="1"/>
  <c r="V70" i="1"/>
  <c r="V71" i="1"/>
  <c r="V73" i="1"/>
  <c r="V74" i="1"/>
  <c r="V75" i="1"/>
  <c r="V76" i="1"/>
  <c r="V77" i="1"/>
  <c r="V78" i="1"/>
  <c r="V79" i="1"/>
  <c r="V84" i="1"/>
  <c r="V87" i="1"/>
  <c r="V88" i="1"/>
  <c r="V89" i="1"/>
  <c r="V90" i="1"/>
  <c r="V104" i="1"/>
  <c r="V105" i="1"/>
  <c r="V106" i="1"/>
  <c r="V108" i="1"/>
  <c r="V112" i="1"/>
  <c r="V114" i="1"/>
  <c r="V116" i="1"/>
  <c r="V118" i="1"/>
  <c r="V119" i="1"/>
  <c r="V121" i="1"/>
  <c r="V122" i="1"/>
  <c r="V123" i="1"/>
  <c r="V124" i="1"/>
  <c r="Z3" i="1"/>
  <c r="Z4" i="1"/>
  <c r="Z5" i="1"/>
  <c r="Z8" i="1"/>
  <c r="Z9" i="1"/>
  <c r="Z10" i="1"/>
  <c r="Z11" i="1"/>
  <c r="Z14" i="1"/>
  <c r="Z15" i="1"/>
  <c r="Z16" i="1"/>
  <c r="Z17" i="1"/>
  <c r="Z18" i="1"/>
  <c r="Z22" i="1"/>
  <c r="Z23" i="1"/>
  <c r="Z24" i="1"/>
  <c r="Z25" i="1"/>
  <c r="Z26" i="1"/>
  <c r="Z27" i="1"/>
  <c r="Z29" i="1"/>
  <c r="Z30" i="1"/>
  <c r="Z34" i="1"/>
  <c r="Z37" i="1"/>
  <c r="Z41" i="1"/>
  <c r="Z42" i="1"/>
  <c r="Z43" i="1"/>
  <c r="Z44" i="1"/>
  <c r="Z45" i="1"/>
  <c r="Z46" i="1"/>
  <c r="Z47" i="1"/>
  <c r="Z48" i="1"/>
  <c r="Z49" i="1"/>
  <c r="Z50" i="1"/>
  <c r="Z51" i="1"/>
  <c r="Z52" i="1"/>
  <c r="Z53" i="1"/>
  <c r="Z55" i="1"/>
  <c r="Z58" i="1"/>
  <c r="Z40" i="1"/>
  <c r="Z59" i="1"/>
  <c r="Z61" i="1"/>
  <c r="Z62" i="1"/>
  <c r="Z63" i="1"/>
  <c r="Z66" i="1"/>
  <c r="Z67" i="1"/>
  <c r="Z68" i="1"/>
  <c r="Z69" i="1"/>
  <c r="Z70" i="1"/>
  <c r="Z71" i="1"/>
  <c r="Z73" i="1"/>
  <c r="Z74" i="1"/>
  <c r="Z75" i="1"/>
  <c r="Z76" i="1"/>
  <c r="Z77" i="1"/>
  <c r="Z78" i="1"/>
  <c r="Z79" i="1"/>
  <c r="Z84" i="1"/>
  <c r="Z87" i="1"/>
  <c r="Z88" i="1"/>
  <c r="Z89" i="1"/>
  <c r="Z90" i="1"/>
  <c r="Z104" i="1"/>
  <c r="Z105" i="1"/>
  <c r="Z106" i="1"/>
  <c r="Z108" i="1"/>
  <c r="Z112" i="1"/>
  <c r="Z114" i="1"/>
  <c r="Z116" i="1"/>
  <c r="Z118" i="1"/>
  <c r="Z119" i="1"/>
  <c r="Z121" i="1"/>
  <c r="Z122" i="1"/>
  <c r="Z123" i="1"/>
  <c r="Z124" i="1"/>
  <c r="X3" i="1"/>
  <c r="X4" i="1"/>
  <c r="X5" i="1"/>
  <c r="X8" i="1"/>
  <c r="X9" i="1"/>
  <c r="X10" i="1"/>
  <c r="X11" i="1"/>
  <c r="X14" i="1"/>
  <c r="X15" i="1"/>
  <c r="X16" i="1"/>
  <c r="X17" i="1"/>
  <c r="X18" i="1"/>
  <c r="X22" i="1"/>
  <c r="X23" i="1"/>
  <c r="X24" i="1"/>
  <c r="X25" i="1"/>
  <c r="X26" i="1"/>
  <c r="X27" i="1"/>
  <c r="X29" i="1"/>
  <c r="X30" i="1"/>
  <c r="X34" i="1"/>
  <c r="X37" i="1"/>
  <c r="X41" i="1"/>
  <c r="X42" i="1"/>
  <c r="X43" i="1"/>
  <c r="X44" i="1"/>
  <c r="X45" i="1"/>
  <c r="X46" i="1"/>
  <c r="X47" i="1"/>
  <c r="X48" i="1"/>
  <c r="X49" i="1"/>
  <c r="X50" i="1"/>
  <c r="X51" i="1"/>
  <c r="X52" i="1"/>
  <c r="X53" i="1"/>
  <c r="X55" i="1"/>
  <c r="X58" i="1"/>
  <c r="X40" i="1"/>
  <c r="X59" i="1"/>
  <c r="X61" i="1"/>
  <c r="X62" i="1"/>
  <c r="X63" i="1"/>
  <c r="X66" i="1"/>
  <c r="X67" i="1"/>
  <c r="X68" i="1"/>
  <c r="X69" i="1"/>
  <c r="X70" i="1"/>
  <c r="X71" i="1"/>
  <c r="X73" i="1"/>
  <c r="X74" i="1"/>
  <c r="X75" i="1"/>
  <c r="X76" i="1"/>
  <c r="X77" i="1"/>
  <c r="X78" i="1"/>
  <c r="X79" i="1"/>
  <c r="X84" i="1"/>
  <c r="X87" i="1"/>
  <c r="X88" i="1"/>
  <c r="X89" i="1"/>
  <c r="X90" i="1"/>
  <c r="X104" i="1"/>
  <c r="X105" i="1"/>
  <c r="X106" i="1"/>
  <c r="X108" i="1"/>
  <c r="X112" i="1"/>
  <c r="X114" i="1"/>
  <c r="X116" i="1"/>
  <c r="X118" i="1"/>
  <c r="X119" i="1"/>
  <c r="X121" i="1"/>
  <c r="X122" i="1"/>
  <c r="X123" i="1"/>
  <c r="X124" i="1"/>
  <c r="Z2" i="1"/>
  <c r="X2" i="1"/>
  <c r="V2" i="1"/>
</calcChain>
</file>

<file path=xl/sharedStrings.xml><?xml version="1.0" encoding="utf-8"?>
<sst xmlns="http://schemas.openxmlformats.org/spreadsheetml/2006/main" count="2440" uniqueCount="778">
  <si>
    <t>ADM</t>
  </si>
  <si>
    <t>main_country</t>
  </si>
  <si>
    <t>Name</t>
  </si>
  <si>
    <t>Questionnaire</t>
  </si>
  <si>
    <t>XY Ref</t>
  </si>
  <si>
    <t>Z Ref</t>
  </si>
  <si>
    <t>Data</t>
  </si>
  <si>
    <t>Type</t>
  </si>
  <si>
    <t>National</t>
  </si>
  <si>
    <t>Urban</t>
  </si>
  <si>
    <t>Avg_dens</t>
  </si>
  <si>
    <t>Planimetric</t>
  </si>
  <si>
    <t>AVG_plan</t>
  </si>
  <si>
    <t>Altimetric</t>
  </si>
  <si>
    <t>AVG_alti</t>
  </si>
  <si>
    <t>update</t>
  </si>
  <si>
    <t>Info</t>
  </si>
  <si>
    <t>Albania</t>
  </si>
  <si>
    <t>No information about LiDAR point clouds is openly available for this country. If such data becomes available, the site will be updated accordingly.</t>
  </si>
  <si>
    <t>Andorra</t>
  </si>
  <si>
    <t>Austria</t>
  </si>
  <si>
    <t>WGS 84 / UTM zone 33N (EPSG 32633).</t>
  </si>
  <si>
    <t>Region</t>
  </si>
  <si>
    <t xml:space="preserve">Based on the latests research, the Bundesamt für Eich- und Vermessungswesen (BEV), the responsible mapping agency in Austria, has no national point cloud or point cloud elevation model is available.. If data becomes avialble, we will promtly update the site accordingly. Please look into the regional data, shown on the map, for the point cloud information on Austria. </t>
  </si>
  <si>
    <t>Wien</t>
  </si>
  <si>
    <t>Online</t>
  </si>
  <si>
    <t>Pointcloud</t>
  </si>
  <si>
    <t>Once</t>
  </si>
  <si>
    <t>https://www.wien.gv.at/stadtentwicklung/stadtvermessung/geodaten/mobile-mapping/produkt.html</t>
  </si>
  <si>
    <t xml:space="preserve">The municipality and city of Vienna have point clouds available: acquired by the air and mobile laser scanning. </t>
  </si>
  <si>
    <t>Niederösterreich</t>
  </si>
  <si>
    <t>https://www.noe.gv.at/noe/Karten-Geoinformationen/Karten-Geoinformationen.html</t>
  </si>
  <si>
    <t>Oberösterreich</t>
  </si>
  <si>
    <t>wo.doris.at/weboffice/synserver?project=weboffice&amp;client=core&amp;user=guest&amp;scale=2500&amp;x=72349&amp;y=353858&amp;coordmarker_x_y=72349 353858&amp;coordmarker_id=pin_point</t>
  </si>
  <si>
    <t>Steiermark</t>
  </si>
  <si>
    <t>ALS</t>
  </si>
  <si>
    <t>https://www.landesentwicklung.steiermark.at/cms/beitrag/12850529/143660187/</t>
  </si>
  <si>
    <t>An open point cloud dataset covering this area is available. Detailed information and access to the dataset can be found in the regional data room.</t>
  </si>
  <si>
    <t>Tirol</t>
  </si>
  <si>
    <t>DEM</t>
  </si>
  <si>
    <t>Kärnten</t>
  </si>
  <si>
    <t>https://kagis.ktn.gv.at/Geodaten/H%c3%b6hendaten%20-%20Download</t>
  </si>
  <si>
    <t>Salzburg</t>
  </si>
  <si>
    <t>Vorarlberg</t>
  </si>
  <si>
    <t>Burgenland</t>
  </si>
  <si>
    <t>https://geodaten.bgld.gv.at/de/downloads/hoehenmodelle-orthofotos.html</t>
  </si>
  <si>
    <t>Belarus</t>
  </si>
  <si>
    <t>Belgium</t>
  </si>
  <si>
    <t xml:space="preserve">Based on the latest research, Belgium has no (harmonised) national point cloud dataset available, but it is divided into three regions: Flanders, Wallonia, and Brussels.  If data becomes available, we will promptly provide the national data information, shown on the map, for the point cloud information on Belgium. </t>
  </si>
  <si>
    <t>Bruxelles</t>
  </si>
  <si>
    <t xml:space="preserve">Belgium Lambert72 (EPSG 31370) </t>
  </si>
  <si>
    <t>https://datastore.brussels/web/data/dataset/ff1124e1-424e-11ee-b156-00090ffe0001</t>
  </si>
  <si>
    <r>
      <rPr>
        <sz val="7"/>
        <color theme="1"/>
        <rFont val="Times New Roman"/>
        <family val="1"/>
      </rPr>
      <t xml:space="preserve"> </t>
    </r>
    <r>
      <rPr>
        <sz val="11"/>
        <color theme="1"/>
        <rFont val="Times New Roman"/>
        <family val="1"/>
      </rPr>
      <t xml:space="preserve">The point cloud dataset of Brussels was acquired in April 2012 and October 2021. The data was acquired to create a city model, initially for a LoD2 and the second acquisition to build a digital twin of the city (Perello, 2024), (Brussels-Capital Region, 2023). </t>
    </r>
  </si>
  <si>
    <t>Vlaanderen</t>
  </si>
  <si>
    <r>
      <t xml:space="preserve">The point cloud dataset is called the Digitaal Hoogtemodel Vlaanderen (DHV). The point cloud dataset is acquired by ALS and is divided into different </t>
    </r>
    <r>
      <rPr>
        <i/>
        <sz val="11"/>
        <color theme="1"/>
        <rFont val="Times New Roman"/>
        <family val="1"/>
      </rPr>
      <t>NGI</t>
    </r>
    <r>
      <rPr>
        <sz val="11"/>
        <color theme="1"/>
        <rFont val="Times New Roman"/>
        <family val="1"/>
      </rPr>
      <t xml:space="preserve"> </t>
    </r>
    <r>
      <rPr>
        <i/>
        <sz val="11"/>
        <color theme="1"/>
        <rFont val="Times New Roman"/>
        <family val="1"/>
      </rPr>
      <t>kaartbladen</t>
    </r>
    <r>
      <rPr>
        <sz val="11"/>
        <color theme="1"/>
        <rFont val="Times New Roman"/>
        <family val="1"/>
      </rPr>
      <t>, with 43 smaller areas. The point cloud dataset of Flanders is a harmonised point cloud dataset from the same acquisition platform</t>
    </r>
  </si>
  <si>
    <t>Wallonie</t>
  </si>
  <si>
    <t>The point cloud data set of Wallonia is called the Service public de Wallonie. The point cloud dataset was acquired by ALS and is divided into six different blocks. The point cloud dataset of Wallonia is a harmonised point cloud dataset from the same acquisition platform. The point cloud dataset is available in LAS 1.2-1.4 and can be downloaded in LAZ</t>
  </si>
  <si>
    <t>Bosnia and Herzegovina</t>
  </si>
  <si>
    <t>Bulgaria</t>
  </si>
  <si>
    <t>Croatia</t>
  </si>
  <si>
    <t>-</t>
  </si>
  <si>
    <t>No</t>
  </si>
  <si>
    <t>Lidar data from the multi-sensor aerial survey of the Republic of Croatia were collected for disaster risk reduction assessment. The State Geodetic Administration (SGA) of Croatia acquired the data. The dataset is not available through an online platform but can be accessed via physical storage (hard disk). Based on the response to the questionnaire, the initial acquisition covering the entire territory of Croatia has been completed, with plans to repeat the acquisition every five years</t>
  </si>
  <si>
    <t>Cyprus</t>
  </si>
  <si>
    <t>Czechia</t>
  </si>
  <si>
    <t>S-JTSK / Krovak East North (EPSG 5514)</t>
  </si>
  <si>
    <t>https://geoportal.cuzk.cz/(S(cnecbknewnpugy55t0ifgc0v))/Default.aspx?mode=TextMeta&amp;metadataXSL=full&amp;side=vyskopis&amp;metadataID=CZ-CUZK-DMR5G-V</t>
  </si>
  <si>
    <r>
      <t xml:space="preserve">The Czech Republic has no point cloud dataset that is freely accessible to the public, only the ALS-derived digital elevation model. The </t>
    </r>
    <r>
      <rPr>
        <i/>
        <sz val="11"/>
        <color theme="1"/>
        <rFont val="Times New Roman"/>
        <family val="1"/>
      </rPr>
      <t>Digitální model reliéfu České republiky</t>
    </r>
    <r>
      <rPr>
        <sz val="11"/>
        <color theme="1"/>
        <rFont val="Times New Roman"/>
        <family val="1"/>
      </rPr>
      <t xml:space="preserve"> (DRM) is available in different generations, e.g. fourth (4G) and 5</t>
    </r>
    <r>
      <rPr>
        <vertAlign val="superscript"/>
        <sz val="11"/>
        <color theme="1"/>
        <rFont val="Times New Roman"/>
        <family val="1"/>
      </rPr>
      <t>th</t>
    </r>
    <r>
      <rPr>
        <sz val="11"/>
        <color theme="1"/>
        <rFont val="Times New Roman"/>
        <family val="1"/>
      </rPr>
      <t xml:space="preserve"> generation (5G). Based on the DMR 5G quality report, the LiDAR acquisition was conducted at an elevation of 1200m and 1400m (Leitmannová, Gálová, &amp; Michalík, 2017).</t>
    </r>
  </si>
  <si>
    <t>Denmark</t>
  </si>
  <si>
    <t>ETRS89 (EPSG: 25832)</t>
  </si>
  <si>
    <t>DVR90</t>
  </si>
  <si>
    <t>https://dataforsyningen.dk/data/930#</t>
  </si>
  <si>
    <t xml:space="preserve">Denmark's national point cloud acquisition campaign is the ’Danmarks Hojdemodel (DHM)’. The dataset is available as open data; however, you need to register to download the data through the Danish geo portal. The acquisition is conducted five-yearly, covering 1/5 of Denmark each year. The point cloud is acquired in 5 blocks and integrated into one national dataset (Danish Agency for Data Supply and Efficiency, 2020).  </t>
  </si>
  <si>
    <t>Estonia</t>
  </si>
  <si>
    <t>Estonian Coordinate System of 1997 (EPSG: 3301)</t>
  </si>
  <si>
    <t>EH2000 (EPSG:5621)</t>
  </si>
  <si>
    <t>https://geoportaal.maaamet.ee/eng/spatial-data/elevation-data-p308.html</t>
  </si>
  <si>
    <t xml:space="preserve">The Estonian national point cloud dataset is collected in a 4-year cycle, except for the regions of Tallinn, Tartu and Pärnu areas, which are acquired in a 2-year cycle (Maa-ja Ruumiamet, 2020) &amp; (Maa-ja Ruumiamet, 2025). There are four versions available as open data: ALS1 (2008-2011), ALS-II (2012-2015), ALS III (2017 -2020) and ALS IV (2021-2024). Tallinn, Tartu and Pärnu regions are acquired at a low altitude (1200m) compared to the national dataset (2000m or 2600m). These datasets are integrated into one national dataset and released per update cycle. To meet the requirements of the forest department, a high-altitude point cloud was acquired. The national mapping agency published Table 15 about the quality parameters based on the flight altitude (Maa-jaRuumiamet, 2020) (Maa-ja Ruumiamet, 2025). </t>
  </si>
  <si>
    <t>Finland</t>
  </si>
  <si>
    <t>ETRS-TM35FIN (EPSG:3067)</t>
  </si>
  <si>
    <t>N2000 (EPSG:3900)</t>
  </si>
  <si>
    <t xml:space="preserve">https://www.maanmittauslaitos.fi/en/maps-and-spatial-data/datasets-and-interfaces/product-descriptions/laser-scanning-data-5-p </t>
  </si>
  <si>
    <r>
      <t xml:space="preserve">Finland's national point cloud dataset, </t>
    </r>
    <r>
      <rPr>
        <i/>
        <sz val="11"/>
        <color theme="1"/>
        <rFont val="Times New Roman"/>
        <family val="1"/>
      </rPr>
      <t>Laserkeilausaineisto</t>
    </r>
    <r>
      <rPr>
        <sz val="11"/>
        <color theme="1"/>
        <rFont val="Times New Roman"/>
        <family val="1"/>
      </rPr>
      <t xml:space="preserve">, is acquired by the National Land Survey of Finland (NLS). The dataset is available in two versions, based on point density (National Land Survey of Finland, 2019) &amp; (National Land Survey of Finland, 2025) namely the </t>
    </r>
    <r>
      <rPr>
        <i/>
        <sz val="11"/>
        <color theme="1"/>
        <rFont val="Times New Roman"/>
        <family val="1"/>
      </rPr>
      <t>0.5p</t>
    </r>
    <r>
      <rPr>
        <sz val="11"/>
        <color theme="1"/>
        <rFont val="Times New Roman"/>
        <family val="1"/>
      </rPr>
      <t xml:space="preserve"> and </t>
    </r>
    <r>
      <rPr>
        <i/>
        <sz val="11"/>
        <color theme="1"/>
        <rFont val="Times New Roman"/>
        <family val="1"/>
      </rPr>
      <t>5p</t>
    </r>
    <r>
      <rPr>
        <sz val="11"/>
        <color theme="1"/>
        <rFont val="Times New Roman"/>
        <family val="1"/>
      </rPr>
      <t>. The 5p point cloud dataset can be accessed, but it can involve additional downloading costs. The point cloud is provided in the LAS 2.0 format and uses the ETRS-TM35FIN coordinate system (EPSG:3067) with the N2000 height system (EPSG:3900).</t>
    </r>
  </si>
  <si>
    <t>France</t>
  </si>
  <si>
    <t>RGF93 (EPSG:2154)</t>
  </si>
  <si>
    <t>IGN 1969 (EPSG: 5720)</t>
  </si>
  <si>
    <t>https://geoservices.ign.fr/lidarhd</t>
  </si>
  <si>
    <r>
      <t>In France, the</t>
    </r>
    <r>
      <rPr>
        <i/>
        <sz val="11"/>
        <color theme="1"/>
        <rFont val="Times New Roman"/>
        <family val="1"/>
      </rPr>
      <t xml:space="preserve"> Institut national de l'information géographique et forestière </t>
    </r>
    <r>
      <rPr>
        <sz val="11"/>
        <color theme="1"/>
        <rFont val="Times New Roman"/>
        <family val="1"/>
      </rPr>
      <t xml:space="preserve">(IGN) is responsible for acquiring and distributing point cloud data. There are three LiDAR point cloud datasets available in France: (1) national DEM, (2) LiDAR Haute density (HD) and (3) the bathymetric dataset Litto3D. The National DEM is unavailable as a point cloud dataset, but LiDAR and photogrammetric acquisition methods are used to acquire the dataset.  The Lidar-Haute density (HD) program will have a point cloud dataset by 2026 covering metropolitan France, the departments and overseas regions (except French Guiana). The HD program covers multiple areas and uses various reference systems for the LiDAR data. The mainland on the European continent has a geodetic system (XY) RGF93 (Lambert 93), while the altimetric system is IGN 1969. </t>
    </r>
  </si>
  <si>
    <t>Germany</t>
  </si>
  <si>
    <t>ETRS89 / UTM Zone 32 or 33 (EPSG:25832)</t>
  </si>
  <si>
    <t>DHHN2016 (EPSG:7837)</t>
  </si>
  <si>
    <t xml:space="preserve">In Germany, the availability of point cloud datasets is divided between the federal government and the Bundesländer (federal states), reflecting a distinction between national and regional scopes. Several datasets were identified in Germany that are available as open-access point cloud data. All elevation or point cloud datasets are acquired using the ETRS89 / UTM Zone 32 or 33 coordinate systems. For vertical reference, data acquired before 2017 use the DHHN92 height system, while data acquired from 2017 onwards use DHHN2016.
The availability of point cloud datasets across the Bundesländer is shown in Figure 11. Note that the federal dataset is not included in this figure; however, the entire country is acquired through acquisitions by federal institutions. The online inventory did not find a harmonised point cloud dataset where all the regional point cloud datasets made available by the Bündnerländern are aligned. </t>
  </si>
  <si>
    <t>Brandenburg</t>
  </si>
  <si>
    <t>https://data.geobasis-bb.de/geobasis/daten/als/laz/</t>
  </si>
  <si>
    <t>Baden-Württemberg</t>
  </si>
  <si>
    <t>Bayern</t>
  </si>
  <si>
    <t>https://www.vermessung.bayern.de/produkte/landschaftsinformationen/laser.html#:~:text=Datenbezug</t>
  </si>
  <si>
    <t>Berlin</t>
  </si>
  <si>
    <t>https://gdi.berlin.de/geonetwork/srv/api/records/85a97801-36bb-4627-8790-f5e53b1e38b3</t>
  </si>
  <si>
    <t>Bremen</t>
  </si>
  <si>
    <t>https://metaver.de/trefferanzeige?docuuid=9AEAE758-FC12-4D9E-AF5E-68537A678588</t>
  </si>
  <si>
    <t>Hamburg</t>
  </si>
  <si>
    <t>https://metaver.de/trefferanzeige?docuuid=A39B4E86-15E2-4BF7-BA82-66F9913D5640</t>
  </si>
  <si>
    <t>Hessen</t>
  </si>
  <si>
    <t>Mecklenburg-Vorpommern</t>
  </si>
  <si>
    <t>https://www.laiv-mv.de/Geoinformation/Geobasisdaten/Gelaendemodelle/</t>
  </si>
  <si>
    <t>Niedersachsen</t>
  </si>
  <si>
    <t xml:space="preserve">https://www.lgln.niedersachsen.de/startseite/geodaten_karten/3d_geobasisdaten/3d_messdaten/3d-messdaten-142870.html </t>
  </si>
  <si>
    <t>An open point cloud dataset covering this area is available. Detailed information and access to the dataset can be found in the regional data room and trough: https://geoportal.geodaten.niedersachsen.de/harvest/srv/api/records/3c37eef8-8a3a-4538-b56f-4dcf63261d8a</t>
  </si>
  <si>
    <t>Nordrhein-Westfalen</t>
  </si>
  <si>
    <t>https://www.opengeodata.nrw.de/produkte/geobasis/hm/3dm_l_las/3dm_l_las/</t>
  </si>
  <si>
    <t>Rheinland-Pfalz</t>
  </si>
  <si>
    <t>https://geoshop.rlp.de/laserpunkte/laserpunkte_gelaende_lpg.html</t>
  </si>
  <si>
    <t>Saarland</t>
  </si>
  <si>
    <t>https://www.shop.lvgl.saarland.de/index.php?option=com_virtuemart&amp;view=category&amp;virtuemart_category_id=1067&amp;Itemid=156</t>
  </si>
  <si>
    <t>Sachsen</t>
  </si>
  <si>
    <t>No additional information regarding this dataset is provided on this website. For comprehensive details and supporting documentation, please consult the corresponding [Data Room link]</t>
  </si>
  <si>
    <t>Sachsen-Anhalt</t>
  </si>
  <si>
    <t>Schleswig-Holstein</t>
  </si>
  <si>
    <t>https://gdk.gdi-de.org/geonetwork/srv/eng/catalog.search#/metadata/e5ee1252-858f-4c3e-8613-4bce7d304fb0</t>
  </si>
  <si>
    <t>Thüringen</t>
  </si>
  <si>
    <t>Greece</t>
  </si>
  <si>
    <t xml:space="preserve">Greece does not offer an open-access point cloud dataset, as data acquisition is conducted primarily for military purposes (Kakoulaki, Martinez, &amp; Florio, 2021). However, aside from the restricted national elevation data (Kakoulaki G. 2021), one dataset is available through the OpenTopography database: 2012 Santorini, Greece LiDAR dataset EU-12-12-137.
</t>
  </si>
  <si>
    <t>Santorini</t>
  </si>
  <si>
    <t>UTM zone 35N, WGS84 [EPSG: 32635]</t>
  </si>
  <si>
    <t>WGS84 [EPSG: 4326]</t>
  </si>
  <si>
    <t>https://portal.opentopography.org/dataspace/dataset?opentopoID=OTDS.112018.32635.1</t>
  </si>
  <si>
    <t>This dataset was acquired for the research conducted by  P. Nomikou (2014) on the Greek volcanic islands of Nea Kameni and Palea Kameni, Santorini, Greece. The point cloud was obtained using ALS, with a point density of 2.08 pts/m². Unfortunately, no information is available regarding the altimetric and planimetric data. The dataset includes two classification labels: unclassified and no low point (noise).</t>
  </si>
  <si>
    <t>Hungary</t>
  </si>
  <si>
    <t>Iceland</t>
  </si>
  <si>
    <t>https://kortasja.lmi.is/mapview/?application=kortasja&amp;l=en</t>
  </si>
  <si>
    <t xml:space="preserve">Iceland does not have a national point cloud dataset available. Figure 12 shows this country's elevation datasets acquired by LiDAR, photogrammetric and radar platforms. The elevation model, in this case a DTM, was built from these datasets by the Institute of Nature Research. The DTM covers around 38% of the country in a 10x10m pixel size. </t>
  </si>
  <si>
    <t>Ireland</t>
  </si>
  <si>
    <t>https://data.gov.ie/dataset/open-topographic-lidar-data</t>
  </si>
  <si>
    <t xml:space="preserve">A LiDAR point cloud in Ireland is available only for specific regions. The data was collected between 2005 and 2014 and has an overall accuracy of 0.25m. The data is not freely accessible but can be purchased by a transfer view and will be delivered in TXT format in Irish Grid (IG) or Irish Transverse Mercator (ITM) projections. </t>
  </si>
  <si>
    <t>Italy</t>
  </si>
  <si>
    <t>https://gn.mase.gov.it/portale/en/data-distribution-services-pst?p_l_back_url=%2Fportale%2Fen%2Fricerca%3Fr%3Dlidar</t>
  </si>
  <si>
    <t>Italy lacks a national LiDAR dataset, as geo-data acquisition is typically conducted by the regions or for specific cases. The elevation model, TINITALY/01, available in Italy, is constructed from contour lines and spot heights derived from the Italian Regional topographic, satellite-based global positioning system points, ground-based and radar altimetry data. However through the portal an application can be made to receive specific aquired LiDAR datasets</t>
  </si>
  <si>
    <t>Emilia-Romagna</t>
  </si>
  <si>
    <t>https://geoportale.regione.emilia-romagna.it/approfondimenti/rer23_24</t>
  </si>
  <si>
    <t>During 2023, the Digital Innovation, Data, Technology and Archive Centre of the Emilia-Romagna Region started the activities related to the new relevant LiDAR-photogrammetric campaign, called RER 2023/24, which will affect a total area of 9,240 sq km; this area was divided equally by year, or 4,620 sq km in 2023 and as many in 2024.  The acquisitions of the photogrammetric products and LiDAR following the award of the Intercenter tender announced during 2022 were carried out during the entire two-year period 2023/24. This information was taken from the Emilia-Romagna Region geoportal.</t>
  </si>
  <si>
    <t>Trentino-Alto Adige</t>
  </si>
  <si>
    <t>http://www.territorio.provincia.tn.it/portal/server.pt/community/lidar/847/lidar/23954</t>
  </si>
  <si>
    <t>Sardegna</t>
  </si>
  <si>
    <t>geo-data</t>
  </si>
  <si>
    <t>Italy has no national LiDAR dataset, as the geo data acquisition is conducted by the regions or for specific cases. The elevation model, TINITALY/01, available in Italy, is constructed from the contour lines and spot heights derived from the Italian Regional topographic, satellite-based global positioning system points, ground-based and radar altimetry data (Tarquini, et al., 2007). The latest version of the digital elevation model was constructed in 2023. The link directs you to the loaction to request pointcloud (LAZ) datasets of Italy.</t>
  </si>
  <si>
    <t>Kosovo</t>
  </si>
  <si>
    <t>Latvia</t>
  </si>
  <si>
    <t>LKS-92 TM (EPSG:3059)</t>
  </si>
  <si>
    <t>LAS-2000.5.</t>
  </si>
  <si>
    <t>https://www.lgia.gov.lv/lv/Digit%C4%81lais%20virsmas%20modelis</t>
  </si>
  <si>
    <t xml:space="preserve">Two open point cloud datasets are available in Latvia: (1) the national point cloud dataset acquired for the digital elevation model (Latvian Geospatial Information Agency (LGIA), 2025) , and (2) the historical city model of Riga (GEO RiGA, 2025). The reference system of the point cloud datasets is linked to the LKS-92 TM and the Latvian standard height system LAS-2000.5. The national point cloud was acquired between 2013 and 2019 and performed in acquisition blocks. Therefore, the different blocks were integrated into one data set to distribute the data to the public domain. </t>
  </si>
  <si>
    <t>Riga</t>
  </si>
  <si>
    <t>https://georiga.eu/en/atvertie-dati/lidar-point-cloud/</t>
  </si>
  <si>
    <t xml:space="preserve"> classified LIDAR point cloud of the historical center of Riga, its protection zone and 13 building protection areas is available in the dataset. LIDAR data acquired in August/September 2022 by aerial laser scanning and ground laser scanning. In an open, uncovered area, the combined density of points is 200-300 p/m². Both manual and automatic classification of aerolaser scanning and laser scanning data was performed. </t>
  </si>
  <si>
    <t>Liechtenstein</t>
  </si>
  <si>
    <t xml:space="preserve">The Liechtenstein dataset is available through Switzerland's national point cloud dataset. </t>
  </si>
  <si>
    <t>Lithuania</t>
  </si>
  <si>
    <t>Lithuania's LKS-94 (EPSG:3346)</t>
  </si>
  <si>
    <t>https://www.geoportal.lt/metadata-catalog/catalog/search/resource/details.page?uuid=%7BF71A4EA2-0CA9-44B5-8CC1-098405DB98DB%7D</t>
  </si>
  <si>
    <t xml:space="preserve">Lithuania's national point cloud dataset is available through a specific geoportal. The acquisition of the point cloud was conducted in 4 cycles by the ALS platform. The data is available in LAS format. The acquisition was conducted between 2019 and 2022. The resulting data were combined to distribute the national point cloud dataset to the public domain as one dataset. The point cloud dataset is available in Lithuania's LKS-94 local coordinate system. </t>
  </si>
  <si>
    <t>Luxembourg</t>
  </si>
  <si>
    <t>LUREF / Luxembourg TM (EPSG:2169)</t>
  </si>
  <si>
    <t>https://map.geoportail.lu/communes/Luxembourg/lidar_tiles_2019/?lang=en</t>
  </si>
  <si>
    <t xml:space="preserve">In Luxembourg, the national point cloud dataset is acquired by the Le Géoportail National du Grand-Duché de Luxembourg. An ALS acquisition platform acquired the Luxembourg national point cloud dataset from 2019 to 2024. </t>
  </si>
  <si>
    <t>Malta</t>
  </si>
  <si>
    <t>ED50 / UTM zone 31N (EPSG:23031)</t>
  </si>
  <si>
    <t>https://www.um.edu.mt/projects/cloudisle/</t>
  </si>
  <si>
    <t xml:space="preserve">The airborne laser scanning platform acquired the point cloud for Malta, CloudISLE, in 2018. </t>
  </si>
  <si>
    <t>Moldova</t>
  </si>
  <si>
    <t>Monaco</t>
  </si>
  <si>
    <t>Montenegro</t>
  </si>
  <si>
    <t>Netherlands</t>
  </si>
  <si>
    <t>RDNAP (EPSG:7415)</t>
  </si>
  <si>
    <t>https://www.ahn.nl/dataroom</t>
  </si>
  <si>
    <t xml:space="preserve">In the Netherlands, four large-scale point cloud datasets are available as open datasets, beshides the national dataset: het Actueel Hoogte Bestand. There are 5 versions availble of the national dataset. Note that many municipalities in the Netherlands also acquire elevation information published on different platforms. Totaal3D and the urban data platform of Rotterdam are examples of available point cloud-derived elevation models. Consequently, multiple point clouds in the Netherlands have different quality parameters and classification definitions. The primary point cloud dataset in the Netherlands is the AHN, which has been acquired in six iterations for the whole country. </t>
  </si>
  <si>
    <t>https://spoorinbeeld.nl/</t>
  </si>
  <si>
    <t>ProRail, responsible for the railway network in the Netherlands, is making available an open nationwide point cloud focusing only on main railways. The point clouds are available from 2018 to 2022. In doing so, ProRail's aim is to also capture and openly exclude all stations, rail goods trains and overhauls on the main rail network</t>
  </si>
  <si>
    <t>North Macedonia</t>
  </si>
  <si>
    <t>https://www.kartverket.no/en/about-kartverket/international-services/story2</t>
  </si>
  <si>
    <t xml:space="preserve">The Kartverket of Norway acquired the LiDAR acquisition for the digital elevation models in North Macedonia. The acquisition project started in June 2018 and lasted until December 2022 (GIM International, 2021), (Agency for Real Estate Cadastre, 2018), (Norwegian Mapping Authority (Kartverket), 2021). The data is not publicly available. Instead, the data is only available to the partners of the project and the United Nations Development Program's country office. </t>
  </si>
  <si>
    <t>Norway</t>
  </si>
  <si>
    <t>EUREF89 UTM32 + NN2000 (EPSG:5972), EUREF89  UTM33  +  NN2000 (EPSG:5973), UREF89  UTM35  +  NN2000 (EPSG:5975)</t>
  </si>
  <si>
    <t>ALS,TLS,DM</t>
  </si>
  <si>
    <t>https://hoydedata.no</t>
  </si>
  <si>
    <t>The Landmåler is responsible for acquiring the Norwegian point cloud datasets in Norway. The quality descriptions are based on a matrix representing the standard requirements for each sensor type used (Kartverket, The Norwegian Mapping Authority, 2023). The descriptions are defined for the ALS, bathymetric LiDAR, terrestrial LiDAR, MBES, and photogrammetry point clouds. The matrix is divided into four quality categories:
•	High: for detailed mapping projects
•	Medium: for specific projects
•	Minimum: for the Nasjonal Detaljert Høydemodell (NDH)/ the national height dataset
•	Custom: point clouds that will not be published on Norway's elevation data platform.   
The point density for Norway is calculated based on the high category, where 80% of the 2 m × 2 m cells within a 10 m × 10 m area must meet the point spacing requirements as shown in the table below. The density for this category must be computed using only the ground class of the point cloud. In contrast, the densities for the medium and low categories are calculated within 10m × 10m grid cells, requiring 95% of the cells to meet the specified criteria.</t>
  </si>
  <si>
    <t>Poland</t>
  </si>
  <si>
    <t>PL-EVRF2007-NH (EPSG: 9719)</t>
  </si>
  <si>
    <t>www.geoportal.gov.pl</t>
  </si>
  <si>
    <t xml:space="preserve">In Poland, the point cloud dataset is acquired by the Head Office of Geodesy and Cartography (Head Office of Geodesy and Cartography (GUGiK), 2023). The data are acquired in the PL-EVRF2007-NH altimetric reference system (EPSG:9719) for cities in a 2-year cycle, for other areas in a 4–5-year cycle. Besides the signal reflection, the point cloud dataset contains the red, green, and blue image values for a coloured representation. </t>
  </si>
  <si>
    <t>Portugal</t>
  </si>
  <si>
    <t>PT-TM06/ETRS89 (EPSG:3763)</t>
  </si>
  <si>
    <t>Cascais height (EPSG:5780)</t>
  </si>
  <si>
    <t xml:space="preserve">In Portugal, there are two open point cloud datasets: (1) the Airborne LiDAR for the coastal areas of Portugal mainland - obtained in 2011, and (2) the Airborne LiDAR for the whole territory of Portugal mainland - currently being produced, to be finished in 2025 (Direção-Geral do Território (DGT), 2024)]. These two datasets have different quality parameters based on the density, absolute and relative accuracy. The mainland dataset will be available in the LAS format. The data are collected in PT-TM06/ETRS89 and Datum Altimétrico de Cascais. </t>
  </si>
  <si>
    <t>Romania</t>
  </si>
  <si>
    <t>Krasovski 1940 ellipsoid (EPSG:3844)</t>
  </si>
  <si>
    <t>https://www.ancpi.ro/laki3/en/</t>
  </si>
  <si>
    <t>Caraș-Severin</t>
  </si>
  <si>
    <t xml:space="preserve">1976 Black Sea normal height system </t>
  </si>
  <si>
    <t>Part of the Romanian national point cloud Laki3 dataset. The information links are all consistent with those of the national dataset.</t>
  </si>
  <si>
    <t>Mehedinți</t>
  </si>
  <si>
    <t xml:space="preserve">1977 Black Sea normal height system </t>
  </si>
  <si>
    <t>Dolj</t>
  </si>
  <si>
    <t xml:space="preserve">1978 Black Sea normal height system </t>
  </si>
  <si>
    <t>Gorj</t>
  </si>
  <si>
    <t xml:space="preserve">1979 Black Sea normal height system </t>
  </si>
  <si>
    <t>Suceava</t>
  </si>
  <si>
    <t xml:space="preserve">1980 Black Sea normal height system </t>
  </si>
  <si>
    <t>Neamț</t>
  </si>
  <si>
    <t xml:space="preserve">1981 Black Sea normal height system </t>
  </si>
  <si>
    <t>Bacău</t>
  </si>
  <si>
    <t xml:space="preserve">1982 Black Sea normal height system </t>
  </si>
  <si>
    <t>Vrancea</t>
  </si>
  <si>
    <t xml:space="preserve">1983 Black Sea normal height system </t>
  </si>
  <si>
    <t>Bihor</t>
  </si>
  <si>
    <t xml:space="preserve">1984 Black Sea normal height system </t>
  </si>
  <si>
    <t>https://geoportal.ancpi.ro/portal/apps/webappviewer/index.html?id=3f34ee5af71c400396dda574f0d53274</t>
  </si>
  <si>
    <t>Part of the Romanian national point cloud Laki2 dataset. The information links are all consistent with those of the national dataset.</t>
  </si>
  <si>
    <t>Hunedoara</t>
  </si>
  <si>
    <t xml:space="preserve">1985 Black Sea normal height system </t>
  </si>
  <si>
    <t>Arab</t>
  </si>
  <si>
    <t xml:space="preserve">1986 Black Sea normal height system </t>
  </si>
  <si>
    <t>Alba</t>
  </si>
  <si>
    <t>San Marino</t>
  </si>
  <si>
    <t>Serbia</t>
  </si>
  <si>
    <t>SRB_ETRS89/UTM</t>
  </si>
  <si>
    <t>SRB_VRS12 height (EPSG:8691)</t>
  </si>
  <si>
    <t>https://www.rgz.gov.rs/digital-terrain-model</t>
  </si>
  <si>
    <t>The high-accuracy DTM is produced using the LiDAR acquisition data and is primarily used for the definition of flood hazard areas and planning of the activities in the field of hazard zones protection by the competent institutions at national and local levels:
    - Based on the LiDAR acquisition data for flooding area of Tisa river (area of approximately 2020 km2) performed in 2012 under the Project for establishing the National Spatial Data Infrastructure and Remote Sensing Center of the Republic of Serbia - IGIS Project, the RGA had produced high accuracy Digital Terrain Model with 1 m grid, mean accuracy of 0.07 m. Parameters of georeferenced high accuracy DTM for flooding area of Tisa river have been determined by the parameters of reference system in the plane of projection for the Republic of Serbia (SRB_ETRS89/UTM), and altitudes are expressed against the official quasi-geoid of the Republic of Serbia as the vertical reference surface.
   - On the basis of LiDAR acquisition data for the purposes of creating a DTM of significantly flooded areas in the Republic of Serbia, which is underway, a high accuracy DTM is being created that will be used for the purposes of hydraulic modeling in the process of creating hazard maps and flood risk maps and improving the flood protection system. The implementation of the works is carried out as part of the Project "Flood risk maps developed for sub-basins and flood protection improved" and is financed from EU pre-accession funds (IPA II 2014 - Sector: environment) and donations. The project area represents 74 significant flood areas with a total area of about 9427 km2.
 You can acquire national data through the Republic Geodetic Authority (RGZ) or by ordering from providers like NextGIS Data.</t>
  </si>
  <si>
    <t>Slovakia</t>
  </si>
  <si>
    <t>ETRS89-TM34 (EPSG:3046)</t>
  </si>
  <si>
    <t>ETRS89-h (EPSG:4345)</t>
  </si>
  <si>
    <t xml:space="preserve">https://mapy.tuzvo.sk/HOFM/Default.aspx </t>
  </si>
  <si>
    <t xml:space="preserve">In 2017, the Slovak Republic started to map the entire country with ALS in two cycles.  The point cloud dataset is acquired in the ETRS89-TM34 reference system and the ETRS89-h height reference. </t>
  </si>
  <si>
    <t>Slovenia</t>
  </si>
  <si>
    <t>http://gis.arso.gov.si/evode/profile.aspx?id=atlas_voda_Lidar@Arso&amp;culture=en-US</t>
  </si>
  <si>
    <t>The CLSS - Cyclic Laser Scanning Survey of Slovenia acquired the national point cloud dataset in 2015 to support flood management. The dataset was acquired in 36 blocks based on the ALS acquisition platform. The nationwide point cloud is distributed in LAZ and zLAZ.</t>
  </si>
  <si>
    <t>Spain</t>
  </si>
  <si>
    <t>ETRS89</t>
  </si>
  <si>
    <t>https://centrodedescargas.cnig.es/CentroDescargas/lidar-tercera-cobertura</t>
  </si>
  <si>
    <t>In Spain, the national data program is led by the National Geographic Institute, where an ALS acquisition platform acquires the nationwide points cloud dataset. Besides the point cloud dataset, a range of other geospatial height-related datasets are acquired and available, including the derived Digital Surface Models (DSM), Digital Terrain Models (DTM), and both national and local point clouds de fomento (2020). The data is acquired in the ETRS89 reference system except for the Canary Islands, which is REGCAN95.</t>
  </si>
  <si>
    <t>País Vasco</t>
  </si>
  <si>
    <t>https://b5m.gipuzkoa.eus/geonetwork/srv/api/records/GFA.LIDED1S08.KS69</t>
  </si>
  <si>
    <t>LiDAR-based elevation model, which was generated by the Basque Government in 2009.</t>
  </si>
  <si>
    <t>Madrid</t>
  </si>
  <si>
    <t>https://geoportal.madrid.es/IDEAM_WBGEOPORTAL/dataset.iam?id=f97e3243-cd18-4cec-8443-9a46f0f29d50</t>
  </si>
  <si>
    <t>Cataluña</t>
  </si>
  <si>
    <t>https://www.icgc.cat/es/Geoinformacion-y-mapas/Datos-y-productos/Bessons-digitals-Elevacions/LiDAR-Territorial</t>
  </si>
  <si>
    <t>Sweden</t>
  </si>
  <si>
    <t>SWEREF 99TM (EPSG:3006)</t>
  </si>
  <si>
    <t xml:space="preserve">The Lantmäteriet acquires the National Laser Scanning Programme (SLS) point cloud dataset. The ALS acquisition platform acquires the data in the reference system SWEREF 99TM. The individual point clouds are harmonised into a single national point cloud dataset acquired in different cycles. There are two main versions available in Sweden: the “skog” (i.e. forest) point clouds covering agricultural and forest areas of Sweden, while the NH covers all other areas. </t>
  </si>
  <si>
    <t>Switzerland</t>
  </si>
  <si>
    <t>LV95 (EPSG:2056)</t>
  </si>
  <si>
    <t>LN02 (EPSG:5728)</t>
  </si>
  <si>
    <t>https://www.swisstopo.admin.ch/en/height-model-swisssurface3d</t>
  </si>
  <si>
    <t xml:space="preserve">In Switzerland, the Swisstopo is responsible for the acquisition of the national point cloud dataset, which is called the swissSURFACE3D. Between 2000 and 2024, the elevation models were acquired by ALS. From 2024 onwards, the point cloud acquisition will be done for Switzerland and Liechtenstein, which will be distributed freely to the public. The LV95 spatial reference system and the LN02 height system acquire the point cloud datasets. </t>
  </si>
  <si>
    <t>Ukraine</t>
  </si>
  <si>
    <t>United Kingdom</t>
  </si>
  <si>
    <t>The United Kingdom's point clouds are acquired separately by each nation in the union: Wales, Scotland, Northern Ireland, and England.</t>
  </si>
  <si>
    <t>England</t>
  </si>
  <si>
    <t>OSGB36 / British National Grid (EPSG:27700)</t>
  </si>
  <si>
    <t>Ordnance Datum Newlyn (EPSG:5101)</t>
  </si>
  <si>
    <t>https://environment.data.gov.uk/survey</t>
  </si>
  <si>
    <t xml:space="preserve">The environmental agency has conducted several LiDAR acquisition surveys in England since 1998. According to the Environment Agency (2016), 75% of England's population was surveyed by the agency (Environment Agency, 2015). From 2017 to 2023, phase 1 of the country was captured again. The data is available in LAS/LAZ. The different LiDAR tiles, referenced to the OSGB'36 British National Grid with elevations recorded in Ordnance Datum Newlyn (AODN), and overage is shown in Figure 17. Each year is highlighted in a different colour, and the r(b) shows the resolution of the acquired LiDAR data used for the derived digital elevation models that are openly accessible. </t>
  </si>
  <si>
    <t>Scotland</t>
  </si>
  <si>
    <t>https://remotesensingdata.gov.scot/data#/map</t>
  </si>
  <si>
    <t>In Scotland, the LiDAR dataset was acquired in 6 phases, representing parts of Scotland but not covering the whole country. The LiDAR acquisition occurred from 2011 to 2023, on behalf of Scottish Power Energy Network (SPEN) (Scottish Government, 2022). The data is distributed to the public in LAZ</t>
  </si>
  <si>
    <t>Northern Ireland</t>
  </si>
  <si>
    <t>DM</t>
  </si>
  <si>
    <t>https://www.nidirect.gov.uk/articles/3d-point-cloud-data</t>
  </si>
  <si>
    <t xml:space="preserve">In Northern Ireland, the Ordnance Survey acquired a point cloud dataset for the digital elevation models based on dense matching. The points are generated at a 1 in 4-pixel ratio, with a point spacing of around 0.4m (Historic Environment Division, Northern Ireland, 2020). The mapping agency highlighted that there is no full coverage due to several causes, such as bad images and issues due to cloud/ distortions in pixel matching.  For some smaller lakes and loughs, surfaces are estimated, but this is not always possible, and gaps are again left where an estimate would be misleading. The data has a total size of 4.7 GB (zipped). The data is not free but can be received against additional costs. </t>
  </si>
  <si>
    <t>Wales</t>
  </si>
  <si>
    <t>LiDAR data is used in Wales to generate the DTM and DSM the Welsh Government provides. The LiDAR data was acquired between 2020 and 2023 and will become open. For Wales, the point cloud had Vegetated vertical accuracy (VVA) quality parameter, which was set at less than 0.29m (Ffotograffiaeth Awyrol a Chartograffeg /Aerial Photography &amp; Cartography)</t>
  </si>
  <si>
    <t>Undefined</t>
  </si>
  <si>
    <t>Water</t>
  </si>
  <si>
    <t>Soil</t>
  </si>
  <si>
    <t>Tall vegetation</t>
  </si>
  <si>
    <t>h</t>
  </si>
  <si>
    <t>Noise</t>
  </si>
  <si>
    <t>Ground</t>
  </si>
  <si>
    <t>Building</t>
  </si>
  <si>
    <t>Bridges</t>
  </si>
  <si>
    <t>Unclassified</t>
  </si>
  <si>
    <t>Buildings</t>
  </si>
  <si>
    <t>Low vegetation</t>
  </si>
  <si>
    <t>Medium vegetation</t>
  </si>
  <si>
    <t>High vegetation</t>
  </si>
  <si>
    <t>Air points</t>
  </si>
  <si>
    <t>water</t>
  </si>
  <si>
    <t>Brigde</t>
  </si>
  <si>
    <t>Last Return not floor3</t>
  </si>
  <si>
    <t>Bridges, Footbridges, Viaducts</t>
  </si>
  <si>
    <t>l</t>
  </si>
  <si>
    <t>Powerlines</t>
  </si>
  <si>
    <t>Other</t>
  </si>
  <si>
    <t>Tower</t>
  </si>
  <si>
    <t>Dublin</t>
  </si>
  <si>
    <t xml:space="preserve">https://cdd.dgterritorio.gov.pt/dgt-fe/catalogos/colecoes?filter=LiDAR+-+Modelos+Digitais+do+Relevo&amp;language=en </t>
  </si>
  <si>
    <t>prorail</t>
  </si>
  <si>
    <t xml:space="preserve">Classification </t>
  </si>
  <si>
    <t>ground</t>
  </si>
  <si>
    <t>common vegetation</t>
  </si>
  <si>
    <t>building</t>
  </si>
  <si>
    <t>low point</t>
  </si>
  <si>
    <t>rail</t>
  </si>
  <si>
    <t>road surface</t>
  </si>
  <si>
    <t>WG</t>
  </si>
  <si>
    <t>WC</t>
  </si>
  <si>
    <t>transmission tower</t>
  </si>
  <si>
    <t>wire structure connector</t>
  </si>
  <si>
    <t>bridge</t>
  </si>
  <si>
    <t xml:space="preserve">overhead </t>
  </si>
  <si>
    <t>snow</t>
  </si>
  <si>
    <t>user</t>
  </si>
  <si>
    <t>MLS</t>
  </si>
  <si>
    <t>https://www.wien.gv.at/stadtplanung/produktinformation-mobile-mapping-befahrung-2023</t>
  </si>
  <si>
    <t>https://www.wien.gv.at/stadtplan3d/</t>
  </si>
  <si>
    <t>EPSG 31256</t>
  </si>
  <si>
    <t>EPSG 8881</t>
  </si>
  <si>
    <t>CC BY 4.0</t>
  </si>
  <si>
    <t>Fee</t>
  </si>
  <si>
    <t>yes</t>
  </si>
  <si>
    <t>no</t>
  </si>
  <si>
    <t>NaN</t>
  </si>
  <si>
    <t>dl-by-de/2.0</t>
  </si>
  <si>
    <t>Yes</t>
  </si>
  <si>
    <t xml:space="preserve">Licence </t>
  </si>
  <si>
    <t>Gratis open data licenties Vlaanderen</t>
  </si>
  <si>
    <t>Licence CC-BY 4.0</t>
  </si>
  <si>
    <t>https://geoportail.wallonie.be/catalogue/ab14b035-c9b0-4c79-a2b6-36811fca96a1.html#Informations</t>
  </si>
  <si>
    <t>https://geoportail.wallonie.be/catalogue/ab14b035-c9b0-4c79-a2b6-36811fca96a1.html#Telechargement</t>
  </si>
  <si>
    <t>Above ground (buildings, roofs, and other structures)</t>
  </si>
  <si>
    <t>Sol (y compris talus et digues</t>
  </si>
  <si>
    <t>Végétation haute (y compris la végétation linéaire)</t>
  </si>
  <si>
    <t>Eau</t>
  </si>
  <si>
    <t>Pont</t>
  </si>
  <si>
    <t>Ligne hautes-tension</t>
  </si>
  <si>
    <t>Dataset_name</t>
  </si>
  <si>
    <t>SpoorInBeeld</t>
  </si>
  <si>
    <t>Stadtplan3D</t>
  </si>
  <si>
    <t> Airborne Laserscannung Höhendaten</t>
  </si>
  <si>
    <t>https://www.landesentwicklung.steiermark.at/cms/beitrag/12803182/142970647/</t>
  </si>
  <si>
    <t>Pointcloud, DEM</t>
  </si>
  <si>
    <t>yes, no</t>
  </si>
  <si>
    <t>https://tiris.maps.arcgis.com/apps/webappviewer/index.html?id=5e3071044cb44e76843d110baef8b138</t>
  </si>
  <si>
    <t>MGI GK West (EPSG:31254)</t>
  </si>
  <si>
    <t>(GHA / EPSG:5778)</t>
  </si>
  <si>
    <t>DSM</t>
  </si>
  <si>
    <t>DTM</t>
  </si>
  <si>
    <t>DSM_scale</t>
  </si>
  <si>
    <t>DTM_scale</t>
  </si>
  <si>
    <t>0,5; 5</t>
  </si>
  <si>
    <t>0,5;5</t>
  </si>
  <si>
    <t>https://www.tirol.gv.at/sicherheit/geoinformation/geodaten-tiris/laserscandaten/</t>
  </si>
  <si>
    <t>Pointcloud,DEM</t>
  </si>
  <si>
    <t>Year_start</t>
  </si>
  <si>
    <t>Year_end</t>
  </si>
  <si>
    <t>https://www.tirol.gv.at/fileadmin/themen/sicherheit/geoinformation/Laserscandaten/ALS_Tirol_Onlinebericht.pdf</t>
  </si>
  <si>
    <t>EPSG: 31255</t>
  </si>
  <si>
    <t>EPSG: 31258</t>
  </si>
  <si>
    <t>https://www.data.gv.at/datasets/c4352e0c-f811-4c59-bdac-4ba199684fc2?locale=de</t>
  </si>
  <si>
    <t>https://www.data.gv.at/datasets/093d4dec-8397-4faf-b690-b8cbe9a9dc31?locale=de</t>
  </si>
  <si>
    <t>https://www.salzburg.gv.at/api5/datalinq/report/vektorpublik@alsdownload@alsdownload?</t>
  </si>
  <si>
    <t>Land Salzburg, Referat Geodateninfrastruktur</t>
  </si>
  <si>
    <t>Responsible</t>
  </si>
  <si>
    <t>Het waterschapshuis</t>
  </si>
  <si>
    <t>Paradigm</t>
  </si>
  <si>
    <t>Link_info</t>
  </si>
  <si>
    <t>link_point cloud</t>
  </si>
  <si>
    <t>https://www.vlaanderen.be/datavindplaats/catalogus/lidar-digitaal-hoogtemodel-vlaanderen-i-ruwe-remote-sensing-data</t>
  </si>
  <si>
    <t>niet maaiveld</t>
  </si>
  <si>
    <t>https://remotesensing.vlaanderen.be/apps/openlidar/</t>
  </si>
  <si>
    <t>https://remotesensing.vlaanderen.be/apps/openlidar/EODaS_openlidar_Handleiding.pdf</t>
  </si>
  <si>
    <t>Actueel Hoogtebestand Nederland 2</t>
  </si>
  <si>
    <t>Actueel Hoogtebestand Nederland 3</t>
  </si>
  <si>
    <t>Actueel Hoogtebestand Nederland 4</t>
  </si>
  <si>
    <t>Actueel Hoogtebestand Nederland 5</t>
  </si>
  <si>
    <t>Actueel Hoogtebestand Nederland 6</t>
  </si>
  <si>
    <t>het Kadaster</t>
  </si>
  <si>
    <t>3D Basisvoorziening</t>
  </si>
  <si>
    <t>3DCD</t>
  </si>
  <si>
    <t>Valladolid</t>
  </si>
  <si>
    <t>Unclear</t>
  </si>
  <si>
    <t>EPSG:3042</t>
  </si>
  <si>
    <t>40K</t>
  </si>
  <si>
    <t>Years</t>
  </si>
  <si>
    <t>https://github.com/clguo/3DCD</t>
  </si>
  <si>
    <t>Source: Wegen et al. (2026), ISPRS J. Photogramm. Remote Sens. 231, 815-836. Multi-temporal point cloud dataset. City-tile ALS dataset for change detection. 383 scenes, 2 epochs, ~4.6% change points. Synthetic.</t>
  </si>
  <si>
    <t>AbenbergALS</t>
  </si>
  <si>
    <t>Abenberg</t>
  </si>
  <si>
    <t>5M</t>
  </si>
  <si>
    <t>7M</t>
  </si>
  <si>
    <t>Hours</t>
  </si>
  <si>
    <t>https://www.iosb.fraunhofer.de/en/competences/image-exploitation/object-recognition/sensor-data-and-algorithms/lidar-data-processing.html</t>
  </si>
  <si>
    <t>Source: Wegen et al. (2026), ISPRS J. Photogramm. Remote Sens. 231, 815-836. Multi-temporal point cloud dataset. Small ALS dataset of a town in Germany (Abenberg). 1 scene, 2 epochs, years interval.</t>
  </si>
  <si>
    <t>Change3D (SLPCCD)</t>
  </si>
  <si>
    <t>Schiedam</t>
  </si>
  <si>
    <t>EPSG:28992</t>
  </si>
  <si>
    <t>566K</t>
  </si>
  <si>
    <t>1M</t>
  </si>
  <si>
    <t>https://github.com/giscanme/SLPCCD</t>
  </si>
  <si>
    <t>Source: Wegen et al. (2026), ISPRS J. Photogramm. Remote Sens. 231, 815-836. Multi-temporal point cloud dataset. Street-segment MLS change detection benchmark. 78 scenes, 2 epochs, ~1.4% change.</t>
  </si>
  <si>
    <t>Hessigheim3D</t>
  </si>
  <si>
    <t>Hessigheim</t>
  </si>
  <si>
    <t>EPSG:25832</t>
  </si>
  <si>
    <t>608K</t>
  </si>
  <si>
    <t>129M</t>
  </si>
  <si>
    <t>https://ifpwww.ifp.uni-stuttgart.de/benchmark/hessigheim/default.aspx</t>
  </si>
  <si>
    <t>Source: Wegen et al. (2026), ISPRS J. Photogramm. Remote Sens. 231, 815-836. Multi-temporal point cloud dataset. High-quality labelled ALS dataset of village near Stuttgart. 3 epochs over months to years. 11 semantic classes.</t>
  </si>
  <si>
    <t>QALIDAR</t>
  </si>
  <si>
    <t>Swiss</t>
  </si>
  <si>
    <t>Le Locle</t>
  </si>
  <si>
    <t>Open government data</t>
  </si>
  <si>
    <t>EPSG:2056</t>
  </si>
  <si>
    <t>2M</t>
  </si>
  <si>
    <t>27M</t>
  </si>
  <si>
    <t>Weeks</t>
  </si>
  <si>
    <t>https://opendata.swiss/en/dataset/qalidar</t>
  </si>
  <si>
    <t>Source: Wegen et al. (2026), ISPRS J. Photogramm. Remote Sens. 231, 815-836. Multi-temporal point cloud dataset. Swiss open-government TLS dataset of a city district. 1 scene, 2 epochs.</t>
  </si>
  <si>
    <t>SMARS</t>
  </si>
  <si>
    <t>Global</t>
  </si>
  <si>
    <t>Venice</t>
  </si>
  <si>
    <t>31M</t>
  </si>
  <si>
    <t>https://github.com/SMARS-dataset/SMARS</t>
  </si>
  <si>
    <t>Source: Wegen et al. (2026), ISPRS J. Photogramm. Remote Sens. 231, 815-836. Multi-temporal point cloud dataset. Synthetic city-tile aerial photogrammetry change dataset. 2 scenes, 2 epochs.</t>
  </si>
  <si>
    <t>SZTAKI-Change3D</t>
  </si>
  <si>
    <t>Budapest</t>
  </si>
  <si>
    <t>58K</t>
  </si>
  <si>
    <t>99K</t>
  </si>
  <si>
    <t>Months</t>
  </si>
  <si>
    <t>https://sztaki.hun-ren.hu/en/innovation/data-repository</t>
  </si>
  <si>
    <t>Source: Wegen et al. (2026), ISPRS J. Photogramm. Remote Sens. 231, 815-836. Multi-temporal point cloud dataset. Street-part MLS change detection. 1927 scenes, 2 epochs each, ~9.1% change.</t>
  </si>
  <si>
    <t>SZTAKI-CityCDLoc</t>
  </si>
  <si>
    <t>EPSG:23700</t>
  </si>
  <si>
    <t>181K</t>
  </si>
  <si>
    <t>Source: Wegen et al. (2026), ISPRS J. Photogramm. Remote Sens. 231, 815-836. Multi-temporal point cloud dataset. City-segment MLS registration and change detection. 3 scenes, 2 epochs, ~61% change.</t>
  </si>
  <si>
    <t>Urb3DCD-v1</t>
  </si>
  <si>
    <t>Lyon</t>
  </si>
  <si>
    <t>EPSG:9826</t>
  </si>
  <si>
    <t>143K</t>
  </si>
  <si>
    <t>Min to Days?</t>
  </si>
  <si>
    <t>https://github.com/IdeGelis/torch-points3d-SiamKPConv</t>
  </si>
  <si>
    <t>Source: Wegen et al. (2026), ISPRS J. Photogramm. Remote Sens. 231, 815-836. Multi-temporal point cloud dataset. Synthetic ALS city-district change detection. 1 scene, 2 epochs, ~10% change.</t>
  </si>
  <si>
    <t>Urb3DCD-v2</t>
  </si>
  <si>
    <t>EPSG:9827</t>
  </si>
  <si>
    <t>149K</t>
  </si>
  <si>
    <t>6M</t>
  </si>
  <si>
    <t>Source: Wegen et al. (2026), ISPRS J. Photogramm. Remote Sens. 231, 815-836. Multi-temporal point cloud dataset. Extended synthetic ALS change detection. 30 scenes, 2 epochs, ~16.6% change.</t>
  </si>
  <si>
    <t>Urb3DCD-cls</t>
  </si>
  <si>
    <t>EPSG:9828</t>
  </si>
  <si>
    <t>11</t>
  </si>
  <si>
    <t>8K</t>
  </si>
  <si>
    <t>Source: Wegen et al. (2026), ISPRS J. Photogramm. Remote Sens. 231, 815-836. Multi-temporal point cloud dataset. Class-labelled synthetic ALS change detection. 7830 scenes, 2 epochs, ~17.8% change.</t>
  </si>
  <si>
    <t>Zhang et al.</t>
  </si>
  <si>
    <t>Rotterdam</t>
  </si>
  <si>
    <t>ALS,DM</t>
  </si>
  <si>
    <t>40M</t>
  </si>
  <si>
    <t>51M</t>
  </si>
  <si>
    <t>Months to Years</t>
  </si>
  <si>
    <t>https://github.com/wangle53/3D_building_change_detection</t>
  </si>
  <si>
    <t>Source: Wegen et al. (2026), ISPRS J. Photogramm. Remote Sens. 231, 815-836. Multi-temporal point cloud dataset. City-tile ALS and aerial photogrammetry change detection. 1 scene, 2 epochs, years.</t>
  </si>
  <si>
    <t>AHK 1</t>
  </si>
  <si>
    <t>Äußeres Hochebenkar</t>
  </si>
  <si>
    <t>CC BY-SA 4.0</t>
  </si>
  <si>
    <t>9M</t>
  </si>
  <si>
    <t>17M</t>
  </si>
  <si>
    <t>https://zenodo.org/records/3370462</t>
  </si>
  <si>
    <t>Source: Wegen et al. (2026), ISPRS J. Photogramm. Remote Sens. 231, 815-836. Multi-temporal point cloud dataset. Alpine rock glacier TLS dataset (Äußeres Hochebenkar). 1 scene, 2 epochs, years interval.</t>
  </si>
  <si>
    <t>AHK 2</t>
  </si>
  <si>
    <t>18K</t>
  </si>
  <si>
    <t>72M</t>
  </si>
  <si>
    <t>https://zenodo.org/records/7066295</t>
  </si>
  <si>
    <t>Source: Wegen et al. (2026), ISPRS J. Photogramm. Remote Sens. 231, 815-836. Multi-temporal point cloud dataset. Extended rock glacier TLS dataset. 1 scene, 6 epochs over days.</t>
  </si>
  <si>
    <t>Bad Frankenhausen</t>
  </si>
  <si>
    <t>Minutes</t>
  </si>
  <si>
    <t>https://zenodo.org/records/6965076</t>
  </si>
  <si>
    <t>Source: Wegen et al. (2026), ISPRS J. Photogramm. Remote Sens. 231, 815-836. Multi-temporal point cloud dataset. TLS landslide/sinkhole monitoring in Bad Frankenhausen, Germany. 1 scene, 3 epochs, years.</t>
  </si>
  <si>
    <t>Belvedere Glacier</t>
  </si>
  <si>
    <t>EPSG:7791</t>
  </si>
  <si>
    <t>39M</t>
  </si>
  <si>
    <t>263M</t>
  </si>
  <si>
    <t>Days to Weeks</t>
  </si>
  <si>
    <t>https://zenodo.org/records/10777823</t>
  </si>
  <si>
    <t>Source: Wegen et al. (2026), ISPRS J. Photogramm. Remote Sens. 231, 815-836. Multi-temporal point cloud dataset. Aerial photogrammetric glacier monitoring dataset. 1 scene, 13 epochs, years.</t>
  </si>
  <si>
    <t>CoastScan Combined</t>
  </si>
  <si>
    <t>Noordwijk</t>
  </si>
  <si>
    <t>EPSG:7415</t>
  </si>
  <si>
    <t>49K</t>
  </si>
  <si>
    <t>172K</t>
  </si>
  <si>
    <t>Hours to Months</t>
  </si>
  <si>
    <t>https://zenodo.org/records/10518718</t>
  </si>
  <si>
    <t>Source: Wegen et al. (2026), ISPRS J. Photogramm. Remote Sens. 231, 815-836. Multi-temporal point cloud dataset. Combined permanent TLS coastal/beach monitoring. 30 scenes, 16 epochs, days to weeks.</t>
  </si>
  <si>
    <t>Findelengletscher</t>
  </si>
  <si>
    <t>CC BY-NC-SA 3.0</t>
  </si>
  <si>
    <t>EPSG:21781</t>
  </si>
  <si>
    <t>26M</t>
  </si>
  <si>
    <t>Weeks to Years</t>
  </si>
  <si>
    <t>https://doi.org/10.5281/zenodo.1158331</t>
  </si>
  <si>
    <t>Source: Wegen et al. (2026), ISPRS J. Photogramm. Remote Sens. 231, 815-836. Multi-temporal point cloud dataset. ALS glacier monitoring dataset (Findelengletscher, Switzerland). 1 scene, 4 epochs, months.</t>
  </si>
  <si>
    <t>Holuhraun</t>
  </si>
  <si>
    <t>CC BY-NC-SA 4.0</t>
  </si>
  <si>
    <t>EPSG:32628</t>
  </si>
  <si>
    <t>92M</t>
  </si>
  <si>
    <t>117M</t>
  </si>
  <si>
    <t>https://zenodo.org/records/10783838</t>
  </si>
  <si>
    <t>Source: Wegen et al. (2026), ISPRS J. Photogramm. Remote Sens. 231, 815-836. Multi-temporal point cloud dataset. TLS volcanic vent (lava field) monitoring in Iceland. 1 scene, 4 epochs, years.</t>
  </si>
  <si>
    <t>Kijkduin</t>
  </si>
  <si>
    <t>665K</t>
  </si>
  <si>
    <t>16M</t>
  </si>
  <si>
    <t>https://zenodo.org/records/5727738</t>
  </si>
  <si>
    <t>Source: Wegen et al. (2026), ISPRS J. Photogramm. Remote Sens. 231, 815-836. Multi-temporal point cloud dataset. Permanent TLS beach monitoring (Kijkduin, Netherlands). 1 scene, 4082 epochs, minutes.</t>
  </si>
  <si>
    <t>M3C2-EP</t>
  </si>
  <si>
    <t>476</t>
  </si>
  <si>
    <t>10M</t>
  </si>
  <si>
    <t>https://zenodo.org/records/5167273</t>
  </si>
  <si>
    <t>Source: Wegen et al. (2026), ISPRS J. Photogramm. Remote Sens. 231, 815-836. Multi-temporal point cloud dataset. Rock glacier TLS with uncertainty estimation. 21 scenes, 3 epochs, weeks to years.</t>
  </si>
  <si>
    <t>Mariakerke Bad</t>
  </si>
  <si>
    <t>EPSG:3812</t>
  </si>
  <si>
    <t>305K</t>
  </si>
  <si>
    <t>Hours to Months?</t>
  </si>
  <si>
    <t>Source: Wegen et al. (2026), ISPRS J. Photogramm. Remote Sens. 231, 815-836. Multi-temporal point cloud dataset. Permanent TLS beach monitoring (Mariakerke, Belgium). 1 scene, 8417 epochs, minutes.</t>
  </si>
  <si>
    <t>Nesslrinna</t>
  </si>
  <si>
    <t>EPSG:32632</t>
  </si>
  <si>
    <t>11M</t>
  </si>
  <si>
    <t>https://zenodo.org/records/3386937</t>
  </si>
  <si>
    <t>Source: Wegen et al. (2026), ISPRS J. Photogramm. Remote Sens. 231, 815-836. Multi-temporal point cloud dataset. TLS landslide monitoring (Nesslrinna, Austria). 1 scene, 2 epochs, years.</t>
  </si>
  <si>
    <t>CC BY-NC 4.0</t>
  </si>
  <si>
    <t>10</t>
  </si>
  <si>
    <t>36M</t>
  </si>
  <si>
    <t>https://zenodo.org/records/8187477</t>
  </si>
  <si>
    <t>Source: Wegen et al. (2026), ISPRS J. Photogramm. Remote Sens. 231, 815-836. Multi-temporal point cloud dataset. Permanent TLS beach monitoring (Noordwijk, Netherlands). 1 scene, 21812 epochs, minutes.</t>
  </si>
  <si>
    <t>Rotmoos</t>
  </si>
  <si>
    <t>8M</t>
  </si>
  <si>
    <t>90M</t>
  </si>
  <si>
    <t>Source: Wegen et al. (2026), ISPRS J. Photogramm. Remote Sens. 231, 815-836. Multi-temporal point cloud dataset. Multi-method river valley monitoring (Rotmoos, Austria). 1 scene, 6 epochs, years.</t>
  </si>
  <si>
    <t>Schneeferner</t>
  </si>
  <si>
    <t>4M</t>
  </si>
  <si>
    <t>54M</t>
  </si>
  <si>
    <t>Weeks to Months</t>
  </si>
  <si>
    <t>https://zenodo.org/records/7885600</t>
  </si>
  <si>
    <t>Source: Wegen et al. (2026), ISPRS J. Photogramm. Remote Sens. 231, 815-836. Multi-temporal point cloud dataset. TLS skiing slope / glacier monitoring (Zugspitze). 1 scene, 129 epochs, hours.</t>
  </si>
  <si>
    <t>Evo TLS</t>
  </si>
  <si>
    <t>Evo</t>
  </si>
  <si>
    <t>EPSG:3067</t>
  </si>
  <si>
    <t>34M</t>
  </si>
  <si>
    <t>83M</t>
  </si>
  <si>
    <t>https://zenodo.org/records/4632398</t>
  </si>
  <si>
    <t>Source: Wegen et al. (2026), ISPRS J. Photogramm. Remote Sens. 231, 815-836. Multi-temporal point cloud dataset. Forest plot TLS dataset (Evo, Finland). 2 scenes, 2 epochs, years.</t>
  </si>
  <si>
    <t>Kalkkinen</t>
  </si>
  <si>
    <t>11K</t>
  </si>
  <si>
    <t>571K</t>
  </si>
  <si>
    <t>https://zenodo.org/records/6327287</t>
  </si>
  <si>
    <t>Source: Wegen et al. (2026), ISPRS J. Photogramm. Remote Sens. 231, 815-836. Multi-temporal point cloud dataset. ALS forest plot monitoring (Kalkkinen, Finland). 10 scenes, 2 epochs, years.</t>
  </si>
  <si>
    <t>Low Vegetation (up to 0.3m)</t>
  </si>
  <si>
    <t>Medium Vegetation (0.3m to 2m)</t>
  </si>
  <si>
    <t>High vegetation (&gt;2m)</t>
  </si>
  <si>
    <t>ASPRS18:Noise</t>
  </si>
  <si>
    <t>Terrain</t>
  </si>
  <si>
    <t>First and middle reflections</t>
  </si>
  <si>
    <t>Noise (below terrain)</t>
  </si>
  <si>
    <t>Terrain under bridges (overlap bit)</t>
  </si>
  <si>
    <t>ASPRS18:Noise (above terrain)</t>
  </si>
  <si>
    <t>Medium vegetation (2020+)</t>
  </si>
  <si>
    <t>High vegetation (2020+)</t>
  </si>
  <si>
    <t>Low error points (2008-2019)</t>
  </si>
  <si>
    <t>Standing water (2008-2019)</t>
  </si>
  <si>
    <t>Bridge points (2008-2019)</t>
  </si>
  <si>
    <t>Overlap area (2008-2019)</t>
  </si>
  <si>
    <t>Streaming water (2008-2019)</t>
  </si>
  <si>
    <t>Air points (2020+)</t>
  </si>
  <si>
    <t>Isolated (2020+)</t>
  </si>
  <si>
    <t>Fault points (2020+)</t>
  </si>
  <si>
    <t>ASPRS12:Overlap area (2020+)</t>
  </si>
  <si>
    <t>Bridge deck</t>
  </si>
  <si>
    <t>ASPRS64:Perennial overlay; ASPRS66:Virtual points; ASPRS67:Miscellaneous - built-up areas</t>
  </si>
  <si>
    <t>Low Point</t>
  </si>
  <si>
    <t>ASPRS18:High Noise; ASPRS64:High voltage power lines; ASPRS65:Wind power plants; ASPRS66:Solar parks; ASPRS67:Pipelines; ASPRS69:Towers / Masts; ASPRS70:Cranes</t>
  </si>
  <si>
    <t>ASPRS64:High-voltage power lines (since 2025); ASPRS69:Towers / Masts / electric pylons (since 2025)</t>
  </si>
  <si>
    <t>outliers</t>
  </si>
  <si>
    <t>Low Vegetation</t>
  </si>
  <si>
    <t>Medium Vegetation</t>
  </si>
  <si>
    <t>High Vegetation</t>
  </si>
  <si>
    <t>Low Point (Noise)</t>
  </si>
  <si>
    <t>Unclassified points</t>
  </si>
  <si>
    <t>Terrain points, ground points</t>
  </si>
  <si>
    <t>replenished building points</t>
  </si>
  <si>
    <t>ASPRS18:High points; ASPRS26:filled soil</t>
  </si>
  <si>
    <t>Wire - conductor</t>
  </si>
  <si>
    <t>ASPRS20:Ignored ground</t>
  </si>
  <si>
    <t>Unclassified and temporary objects</t>
  </si>
  <si>
    <t>ASPRS12:Overlap</t>
  </si>
  <si>
    <t>Maaiveld (Ground &amp; vegetation)</t>
  </si>
  <si>
    <t>Power cable</t>
  </si>
  <si>
    <t>ASPRS26:Bridge</t>
  </si>
  <si>
    <t>Low point (noise)</t>
  </si>
  <si>
    <t>ASPRS8:Water; ASPRS12:Overlap</t>
  </si>
  <si>
    <t>ASPRS26:Bridges</t>
  </si>
  <si>
    <t>Power lines</t>
  </si>
  <si>
    <t>ASPRS18:High Noise</t>
  </si>
  <si>
    <t>Created, Never Classified</t>
  </si>
  <si>
    <t>Road surface (noise)</t>
  </si>
  <si>
    <t>ASPRS24:Overlap points (noise)</t>
  </si>
  <si>
    <t>Ground (point on the ground)</t>
  </si>
  <si>
    <t>ASPRS18:High noise</t>
  </si>
  <si>
    <t>Default (unclassified)</t>
  </si>
  <si>
    <t>Low surface object (0.05m =&gt; Ground =&lt;0.15m)</t>
  </si>
  <si>
    <t>Medium surface object (0.15m =&gt; Ground =&lt;5m)</t>
  </si>
  <si>
    <t>High surface object (5 =&gt; Ground =&lt;100)</t>
  </si>
  <si>
    <t>ASPRS8:Model keypoints</t>
  </si>
  <si>
    <t>Bare earth</t>
  </si>
  <si>
    <t xml:space="preserve">Medium vegetation </t>
  </si>
  <si>
    <t>Low point / noise</t>
  </si>
  <si>
    <t>Laki2</t>
  </si>
  <si>
    <t>Laki3</t>
  </si>
  <si>
    <t>National Agency of Cadastre and Land Registration Romania</t>
  </si>
  <si>
    <t xml:space="preserve"> ASPRS20:Bridges</t>
  </si>
  <si>
    <t>ASPRS18:High Noise; ASPRS20:Bridges</t>
  </si>
  <si>
    <t>Pro Rail - Minisitry of Infrastructure</t>
  </si>
  <si>
    <t>research</t>
  </si>
  <si>
    <t>Service public de Wallonie</t>
  </si>
  <si>
    <t>National point cloud</t>
  </si>
  <si>
    <t>State Geodetic Administration</t>
  </si>
  <si>
    <t>Digitální model reliéfu České republiky 5G</t>
  </si>
  <si>
    <t>Digitální model reliéfu České republiky 4G</t>
  </si>
  <si>
    <t>Danmarks Højdemodel (DHM) / Punktsky</t>
  </si>
  <si>
    <t>ALS I</t>
  </si>
  <si>
    <t>ALS II</t>
  </si>
  <si>
    <t>ALS III</t>
  </si>
  <si>
    <t>ALS IV</t>
  </si>
  <si>
    <t>Laserkeilausaineisto 0,5p</t>
  </si>
  <si>
    <t>Laserkeilausaineisto 5p</t>
  </si>
  <si>
    <t>LiDAR Haute Densité (LiDAR HD)</t>
  </si>
  <si>
    <t>Litto3D</t>
  </si>
  <si>
    <t>ATKIS DGM1</t>
  </si>
  <si>
    <t>Landmælingar Íslands</t>
  </si>
  <si>
    <t>Dublin City Centre point cloud</t>
  </si>
  <si>
    <t>Open Topographic LiDAR Data</t>
  </si>
  <si>
    <t>Geological Survey Ireland</t>
  </si>
  <si>
    <t>National LiDAR point cloud</t>
  </si>
  <si>
    <t>GEO RiGA</t>
  </si>
  <si>
    <t>swissSURFACE3D</t>
  </si>
  <si>
    <t>National point cloud dataset</t>
  </si>
  <si>
    <t>LiDAR Tiles 2019</t>
  </si>
  <si>
    <t>Cloudisle</t>
  </si>
  <si>
    <t>Kartverket / Geovekst</t>
  </si>
  <si>
    <t>National LiDAR dataset</t>
  </si>
  <si>
    <t>Levantamento LiDAR de Portugal Continental</t>
  </si>
  <si>
    <t>CLSS – Cyclic Laser Scanning Survey of Slovenia</t>
  </si>
  <si>
    <t>Catalonia LiDAR</t>
  </si>
  <si>
    <t>Basque Country LiDAR</t>
  </si>
  <si>
    <t>SLS – NH</t>
  </si>
  <si>
    <t>SLS – Skog/Forest</t>
  </si>
  <si>
    <t>Federal Office of Topography swisstopo</t>
  </si>
  <si>
    <t>National LiDAR Programme</t>
  </si>
  <si>
    <t>Environment Agency</t>
  </si>
  <si>
    <t>Aerial Photography &amp; Cartography</t>
  </si>
  <si>
    <t>LiDAR dataset</t>
  </si>
  <si>
    <t>Ordnance Survey NI</t>
  </si>
  <si>
    <t>HED LiDAR</t>
  </si>
  <si>
    <t>Coverage</t>
  </si>
  <si>
    <t>City</t>
  </si>
  <si>
    <t>Regional</t>
  </si>
  <si>
    <t>Island</t>
  </si>
  <si>
    <t>Railway</t>
  </si>
  <si>
    <t>Street</t>
  </si>
  <si>
    <t>City - district</t>
  </si>
  <si>
    <t>Rock glacier</t>
  </si>
  <si>
    <t>Sinkhole</t>
  </si>
  <si>
    <t>Glacier</t>
  </si>
  <si>
    <t>Beach</t>
  </si>
  <si>
    <t>Landslide</t>
  </si>
  <si>
    <t>River valley</t>
  </si>
  <si>
    <t>Slope</t>
  </si>
  <si>
    <t>Forrest</t>
  </si>
  <si>
    <t>https://clss.si/</t>
  </si>
  <si>
    <t>https://assets.flycom.si/clss/navodila_pregledovalnik_clss.pdf</t>
  </si>
  <si>
    <t>https://www.skgeodesy.sk/files/sk/slovensky/ugkk/medzinarodna-spolupraca/kontrola-kvality-topografickych-udajov-poskytovanych-rezortom-ugkk-sr.pdf</t>
  </si>
  <si>
    <t xml:space="preserve"> UGKK SR</t>
  </si>
  <si>
    <t>https://www.idee.es/csw-inspire-idee/srv/dut/catalog.search#/metadata/spaignLIDAR_cob2</t>
  </si>
  <si>
    <t>https://www.idee.es/csw-inspire-idee/srv/dut/catalog.search#/metadata/spacarlidar2010</t>
  </si>
  <si>
    <t>https://www.idee.es/csw-inspire-idee/srv/dut/catalog.search#/metadata/spaignLIDAR_cob3</t>
  </si>
  <si>
    <t>Retorno sin clasificar</t>
  </si>
  <si>
    <t>Suelo</t>
  </si>
  <si>
    <t>Vegetación baja</t>
  </si>
  <si>
    <t>Vegetación media</t>
  </si>
  <si>
    <t>Vegetación alta</t>
  </si>
  <si>
    <t>Edificación</t>
  </si>
  <si>
    <t>EPSG:25830</t>
  </si>
  <si>
    <t>Ayuntamiento de Madrid</t>
  </si>
  <si>
    <t xml:space="preserve">Nube de puntos 3D del año 2023 </t>
  </si>
  <si>
    <t>https://datos.madrid.es/pages/condiciones-generales-ayuntamiento-de-madrid</t>
  </si>
  <si>
    <t>https://catalegs.ide.cat/geonetwork/srv/cat/catalog.search#/metadata/lidar-territorial-v3r1-2021-2023</t>
  </si>
  <si>
    <t>https://www.lantmateriet.se/en/geodata/our-products/product-list/laser-data-download-forest/</t>
  </si>
  <si>
    <t>onwards</t>
  </si>
  <si>
    <t>Laserdata Nedladdning, skog</t>
  </si>
  <si>
    <t>Laserdata Nedladdning, NH</t>
  </si>
  <si>
    <t>https://www.lantmateriet.se/sv/geodata/vara-produkter/produktlista/laserdata-nedladdning-nh/</t>
  </si>
  <si>
    <t>https://www.lantmateriet.se/sv/geodata/vara-produkter/bestall-geodata/</t>
  </si>
  <si>
    <t>https://www.lantmateriet.se/sv/geodata/vara-produkter/Villkor-och-avgifter/upphovsratt-och-publicering-av-lantmateriets-geografiska-information/</t>
  </si>
  <si>
    <t>Vegetation (low – medium – high)</t>
  </si>
  <si>
    <t>Building roofs</t>
  </si>
  <si>
    <t>High-voltage / power line</t>
  </si>
  <si>
    <t>Masts with a load-bearing function</t>
  </si>
  <si>
    <t>Bridge-, overpass-, viaduct- and footbridge deck</t>
  </si>
  <si>
    <t>ASPRS26: Building facades; ASPRS27: Bridge piers and viaduct stay cabels</t>
  </si>
  <si>
    <t>Bridges, viaducts</t>
  </si>
  <si>
    <t>https://www.swisstopo.admin.ch/en/terms-of-use-free-geodata-and-geoservices</t>
  </si>
  <si>
    <t>https://environment.data.gov.uk/support/faqs/275811163/275811177</t>
  </si>
  <si>
    <t>http://www.nationalarchives.gov.uk/doc/open-government-licence/</t>
  </si>
  <si>
    <t>Not open to public yet</t>
  </si>
  <si>
    <t xml:space="preserve">NRW LiDAR </t>
  </si>
  <si>
    <t>https://datamap.gov.wales/maps/lidar-data-download/view#/</t>
  </si>
  <si>
    <t>https://datamap.gov.wales/layers/geonode:welsh_government_lidar_tile_catalogue_2020_2023</t>
  </si>
  <si>
    <t>https://geoportal.ancpi.ro/portal/sharing/rest/content/items/4c820fcf2111417cb062acdcf7f6fef1/data</t>
  </si>
  <si>
    <t>https://www.geoportal.gov.pl/en/data/lidar-measurements-lidar/</t>
  </si>
  <si>
    <t>Created, never classified</t>
  </si>
  <si>
    <t>created but never classified;</t>
  </si>
  <si>
    <t>Medium vegetation [0,40m to 2m]</t>
  </si>
  <si>
    <t>Low vegetation [&lt;0.4m]</t>
  </si>
  <si>
    <t>High vegetation  [&gt;2m]</t>
  </si>
  <si>
    <t>buildings and engineering objects;</t>
  </si>
  <si>
    <t>0,5;2</t>
  </si>
  <si>
    <t>https://snig.dgterritorio.gov.pt/rndg/srv/por/catalog.search#/metadata/077a8c94-8b46-4a8a-8796-0d7fc4662f0c</t>
  </si>
  <si>
    <t>CC-BY-4.0</t>
  </si>
  <si>
    <t>https://register.geonorge.no/data/documents/sosi-standard-del-1-generell-del_SOSI%20produktspesifikasjoner%20%E2%80%93%20Krav%20og%20godkjenning_v1_sosi-produktspesifikasjoner-krav-og-godkjenning-5_0_.pdf</t>
  </si>
  <si>
    <t>0,8;0,25</t>
  </si>
  <si>
    <t>https://www.kadaster.nl/zakelijk/producten/geo-informatie/3d-producten/3d-basisvoorziening</t>
  </si>
  <si>
    <t>Kartverket &amp;  Agency for Real Estate Cadastre (AREC)</t>
  </si>
  <si>
    <t>Dataroom not available as the portal is not live anymore</t>
  </si>
  <si>
    <t>PNOA LiDAR 1</t>
  </si>
  <si>
    <t>PNOA LiDAR 2</t>
  </si>
  <si>
    <t>PNOA LiDAR 3</t>
  </si>
  <si>
    <t xml:space="preserve">Main_data </t>
  </si>
  <si>
    <t>https://www.ahn.nl/kwaliteitsbeschrijving</t>
  </si>
  <si>
    <t>https://basisdata.nl/hwh-ahn/AUX/bestekken/AHN4_inwinning.pdf</t>
  </si>
  <si>
    <t>https://www.tenderned.nl/aankondigingen/overzicht/275983</t>
  </si>
  <si>
    <t>https://www.tenderned.nl/aankondigingen/overzicht/340046</t>
  </si>
  <si>
    <t>https://cuatro.sim-cdn.nl/ahn/uploads/AHN2_kwaliteitsdocument.pdf?cb=6FKgWAiX</t>
  </si>
  <si>
    <t>Centro Nacional de Información Geográfica</t>
  </si>
  <si>
    <t>TU Delft</t>
  </si>
  <si>
    <t>Digitaal Hoogtemodel Vlaanderen 1</t>
  </si>
  <si>
    <t>Digitaal Hoogtemodel Vlaanderen 2</t>
  </si>
  <si>
    <t>No fee or login requiered</t>
  </si>
  <si>
    <t>Airborne Laserscanning (ALS) Primäre 3D Laserscan-Daten</t>
  </si>
  <si>
    <t>Geodatensuche Berlin</t>
  </si>
  <si>
    <t>Available through email</t>
  </si>
  <si>
    <t>Höhenmodelle - Landesamt Geoinformation Bremen</t>
  </si>
  <si>
    <t>Geoportal Hamburg</t>
  </si>
  <si>
    <t>Dreidimensional | Bodenmanagement Geoinformation</t>
  </si>
  <si>
    <t>Luftgestütztes Messverfahren | Bodenmanagement Geoinformation</t>
  </si>
  <si>
    <t>Beschreibung - LAiV M-V Downloadportal Geobasisdaten</t>
  </si>
  <si>
    <t>3D-Messdaten | Bezirksregierung Köln</t>
  </si>
  <si>
    <t>Geländeoberfläche ohne die darauf befindlichen Objekte</t>
  </si>
  <si>
    <t>Laserpunkte Gelände</t>
  </si>
  <si>
    <t>3D-Messdaten Laserscanning </t>
  </si>
  <si>
    <t>Digitale Geländemodelle (DGM) </t>
  </si>
  <si>
    <t>Landesamt für innere Verwaltung Amt für Geoinformation, Vermessungs- und Katasterwesen</t>
  </si>
  <si>
    <t>Landesamt Geoinformation Bremen</t>
  </si>
  <si>
    <t>Landesbetrieb Geoinformation und Vermessung (LGV) Hamburg</t>
  </si>
  <si>
    <t>Saarland 3D</t>
  </si>
  <si>
    <t>Saarland3D</t>
  </si>
  <si>
    <t>LVGL Saarland</t>
  </si>
  <si>
    <t>Höhen- und 3D-Stadtmodelle - Geobasisinformation - sachsen.de</t>
  </si>
  <si>
    <t>Geobasisinformation Sachsen</t>
  </si>
  <si>
    <t>Download, diensten en testgegevens - Basis geo-informatie - sachsen.de</t>
  </si>
  <si>
    <t>Landesamt für Vermessung und Geoinformation (LVermGeo) Sachsen-Anhalt</t>
  </si>
  <si>
    <t>3D-Messdaten - Geodatenportal Sachsen-Anhalt</t>
  </si>
  <si>
    <t>Open Data - Geodatenportal Sachsen-Anhalt</t>
  </si>
  <si>
    <t>3D-Messdaten</t>
  </si>
  <si>
    <t>1;5</t>
  </si>
  <si>
    <t>My GeoNetwork catalogue</t>
  </si>
  <si>
    <t>Landesamt für Vermessung und Geoinformation Schleswig-Holstein</t>
  </si>
  <si>
    <t>Download Höhendaten | Startseite Geoportal Th</t>
  </si>
  <si>
    <t>https://geoportal.geoportal-th.de/hoehendaten/Uebersichten/README_Hoehendaten_2010-2013.pdf</t>
  </si>
  <si>
    <t>https://geoportal.geoportal-th.de/hoehendaten/Uebersichten/README_Hoehendaten_2014-2019.pdf</t>
  </si>
  <si>
    <t>https://geoportal.geoportal-th.de/hoehendaten/Uebersichten/README_Hoehendaten_2020-2025.pdf</t>
  </si>
  <si>
    <t>SLS</t>
  </si>
  <si>
    <t>SLS,DM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</si>
</sst>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Aptos Narrow"/>
      <family val="2"/>
      <scheme val="minor"/>
    </font>
    <font>
      <sz val="11"/>
      <color rgb="FF006100"/>
      <name val="Aptos Narrow"/>
      <family val="2"/>
      <scheme val="minor"/>
    </font>
    <font>
      <sz val="11"/>
      <color rgb="FF9C0006"/>
      <name val="Aptos Narrow"/>
      <family val="2"/>
      <scheme val="minor"/>
    </font>
    <font>
      <b/>
      <sz val="11"/>
      <color theme="1"/>
      <name val="Aptos Narrow"/>
      <family val="2"/>
      <scheme val="minor"/>
    </font>
    <font>
      <i/>
      <sz val="11"/>
      <color theme="1"/>
      <name val="Aptos Narrow"/>
      <family val="2"/>
      <scheme val="minor"/>
    </font>
    <font>
      <sz val="11"/>
      <color theme="1"/>
      <name val="Times New Roman"/>
      <family val="1"/>
    </font>
    <font>
      <u/>
      <sz val="11"/>
      <color theme="10"/>
      <name val="Aptos Narrow"/>
      <family val="2"/>
      <scheme val="minor"/>
    </font>
    <font>
      <sz val="11"/>
      <color rgb="FFCCCCCC"/>
      <name val="Consolas"/>
      <family val="3"/>
    </font>
    <font>
      <sz val="11"/>
      <color rgb="FF000000"/>
      <name val="Aptos Narrow"/>
      <family val="2"/>
      <scheme val="minor"/>
    </font>
    <font>
      <i/>
      <sz val="11"/>
      <color theme="1"/>
      <name val="Times New Roman"/>
      <family val="1"/>
    </font>
    <font>
      <sz val="7"/>
      <color theme="1"/>
      <name val="Times New Roman"/>
      <family val="1"/>
    </font>
    <font>
      <vertAlign val="superscript"/>
      <sz val="11"/>
      <color theme="1"/>
      <name val="Times New Roman"/>
      <family val="1"/>
    </font>
    <font>
      <b/>
      <sz val="11"/>
      <color rgb="FF9C0006"/>
      <name val="Aptos Narrow"/>
      <family val="2"/>
      <scheme val="minor"/>
    </font>
    <font>
      <sz val="8"/>
      <name val="Aptos Narrow"/>
      <family val="2"/>
      <scheme val="minor"/>
    </font>
    <font>
      <sz val="11"/>
      <color rgb="FF9C0006"/>
      <name val="Aptos Narrow"/>
      <family val="2"/>
      <charset val="1"/>
    </font>
    <font>
      <sz val="9"/>
      <name val="Arial"/>
      <charset val="1"/>
    </font>
    <font>
      <b/>
      <sz val="11"/>
      <color theme="1"/>
      <name val="Aptos Narrow"/>
      <family val="2"/>
      <charset val="1"/>
    </font>
    <font>
      <sz val="11"/>
      <color theme="1"/>
      <name val="Times New Roman"/>
      <family val="1"/>
      <charset val="1"/>
    </font>
    <font>
      <sz val="11"/>
      <color rgb="FF006100"/>
      <name val="Aptos Narrow"/>
      <family val="2"/>
      <charset val="1"/>
    </font>
    <font>
      <sz val="12"/>
      <color rgb="FF1C1C1C"/>
      <name val="Arial"/>
      <family val="2"/>
    </font>
  </fonts>
  <fills count="8">
    <fill>
      <patternFill patternType="none"/>
    </fill>
    <fill>
      <patternFill patternType="gray125"/>
    </fill>
    <fill>
      <patternFill patternType="solid">
        <fgColor rgb="FFC6EFCE"/>
      </patternFill>
    </fill>
    <fill>
      <patternFill patternType="solid">
        <fgColor rgb="FFFFC7CE"/>
      </patternFill>
    </fill>
    <fill>
      <patternFill patternType="solid">
        <fgColor rgb="FFFFC7CE"/>
        <bgColor rgb="FF000000"/>
      </patternFill>
    </fill>
    <fill>
      <patternFill patternType="solid">
        <fgColor rgb="FFFFC7CE"/>
        <bgColor rgb="FFCCCCCC"/>
      </patternFill>
    </fill>
    <fill>
      <patternFill patternType="solid">
        <fgColor rgb="FFF2F2F2"/>
        <bgColor rgb="FFE2EFDA"/>
      </patternFill>
    </fill>
    <fill>
      <patternFill patternType="solid">
        <fgColor rgb="FFC6EFCE"/>
        <bgColor rgb="FFDAEEF3"/>
      </patternFill>
    </fill>
  </fills>
  <borders count="3">
    <border>
      <left/>
      <right/>
      <top/>
      <bottom/>
      <diagonal/>
    </border>
    <border>
      <left style="medium">
        <color indexed="64"/>
      </left>
      <right style="medium">
        <color indexed="64"/>
      </right>
      <top style="medium">
        <color indexed="64"/>
      </top>
      <bottom style="medium">
        <color indexed="64"/>
      </bottom>
      <diagonal/>
    </border>
    <border>
      <left style="thin">
        <color rgb="FFBFBFBF"/>
      </left>
      <right style="thin">
        <color rgb="FFBFBFBF"/>
      </right>
      <top style="thin">
        <color rgb="FFBFBFBF"/>
      </top>
      <bottom style="thin">
        <color rgb="FFBFBFBF"/>
      </bottom>
      <diagonal/>
    </border>
  </borders>
  <cellStyleXfs count="4">
    <xf numFmtId="0" fontId="0" fillId="0" borderId="0"/>
    <xf numFmtId="0" fontId="1" fillId="2" borderId="0" applyNumberFormat="0" applyBorder="0" applyAlignment="0" applyProtection="0"/>
    <xf numFmtId="0" fontId="2" fillId="3" borderId="0" applyNumberFormat="0" applyBorder="0" applyAlignment="0" applyProtection="0"/>
    <xf numFmtId="0" fontId="6" fillId="0" borderId="0" applyNumberFormat="0" applyFill="0" applyBorder="0" applyAlignment="0" applyProtection="0"/>
  </cellStyleXfs>
  <cellXfs count="31">
    <xf numFmtId="0" fontId="0" fillId="0" borderId="0" xfId="0"/>
    <xf numFmtId="0" fontId="3" fillId="0" borderId="0" xfId="0" applyFont="1"/>
    <xf numFmtId="0" fontId="5" fillId="0" borderId="0" xfId="0" applyFont="1"/>
    <xf numFmtId="0" fontId="5" fillId="0" borderId="1" xfId="0" applyFont="1" applyBorder="1" applyAlignment="1">
      <alignment horizontal="justify" vertical="center" wrapText="1"/>
    </xf>
    <xf numFmtId="0" fontId="2" fillId="3" borderId="0" xfId="2"/>
    <xf numFmtId="0" fontId="1" fillId="2" borderId="0" xfId="1"/>
    <xf numFmtId="0" fontId="6" fillId="0" borderId="0" xfId="3"/>
    <xf numFmtId="0" fontId="6" fillId="0" borderId="0" xfId="3" applyAlignment="1">
      <alignment horizontal="justify" vertical="center"/>
    </xf>
    <xf numFmtId="0" fontId="7" fillId="0" borderId="0" xfId="0" applyFont="1" applyAlignment="1">
      <alignment vertical="center"/>
    </xf>
    <xf numFmtId="0" fontId="5" fillId="0" borderId="0" xfId="0" applyFont="1" applyAlignment="1">
      <alignment horizontal="justify" vertical="center" wrapText="1"/>
    </xf>
    <xf numFmtId="0" fontId="8" fillId="0" borderId="0" xfId="0" applyFont="1"/>
    <xf numFmtId="0" fontId="2" fillId="4" borderId="0" xfId="0" applyFont="1" applyFill="1"/>
    <xf numFmtId="0" fontId="6" fillId="0" borderId="0" xfId="3" applyAlignment="1">
      <alignment vertical="center"/>
    </xf>
    <xf numFmtId="0" fontId="5" fillId="0" borderId="0" xfId="0" applyFont="1" applyAlignment="1">
      <alignment horizontal="justify" vertical="center"/>
    </xf>
    <xf numFmtId="0" fontId="5" fillId="0" borderId="0" xfId="0" applyFont="1" applyAlignment="1">
      <alignment wrapText="1"/>
    </xf>
    <xf numFmtId="0" fontId="0" fillId="0" borderId="0" xfId="0" applyAlignment="1">
      <alignment wrapText="1"/>
    </xf>
    <xf numFmtId="0" fontId="12" fillId="3" borderId="0" xfId="2" applyFont="1"/>
    <xf numFmtId="0" fontId="6" fillId="0" borderId="0" xfId="3" applyAlignment="1">
      <alignment wrapText="1"/>
    </xf>
    <xf numFmtId="0" fontId="2" fillId="3" borderId="0" xfId="2" applyAlignment="1">
      <alignment wrapText="1"/>
    </xf>
    <xf numFmtId="0" fontId="6" fillId="2" borderId="0" xfId="3" applyFill="1"/>
    <xf numFmtId="0" fontId="6" fillId="3" borderId="0" xfId="3" applyFill="1"/>
    <xf numFmtId="0" fontId="4" fillId="0" borderId="0" xfId="0" applyFont="1"/>
    <xf numFmtId="0" fontId="14" fillId="5" borderId="0" xfId="0" applyFont="1" applyFill="1"/>
    <xf numFmtId="0" fontId="15" fillId="0" borderId="2" xfId="0" applyFont="1" applyBorder="1" applyAlignment="1">
      <alignment horizontal="center" vertical="center" wrapText="1"/>
    </xf>
    <xf numFmtId="0" fontId="15" fillId="0" borderId="2" xfId="0" applyFont="1" applyBorder="1" applyAlignment="1">
      <alignment horizontal="left" vertical="center" wrapText="1"/>
    </xf>
    <xf numFmtId="0" fontId="15" fillId="6" borderId="2" xfId="0" applyFont="1" applyFill="1" applyBorder="1" applyAlignment="1">
      <alignment horizontal="left" vertical="center" wrapText="1"/>
    </xf>
    <xf numFmtId="0" fontId="16" fillId="0" borderId="0" xfId="0" applyFont="1"/>
    <xf numFmtId="0" fontId="17" fillId="0" borderId="0" xfId="0" applyFont="1"/>
    <xf numFmtId="0" fontId="18" fillId="7" borderId="0" xfId="0" applyFont="1" applyFill="1"/>
    <xf numFmtId="0" fontId="0" fillId="0" borderId="0" xfId="0" applyAlignment="1">
      <alignment vertical="center" wrapText="1"/>
    </xf>
    <xf numFmtId="0" fontId="19" fillId="0" borderId="0" xfId="0" applyFont="1"/>
  </cellXfs>
  <cellStyles count="4">
    <cellStyle name="Goed" xfId="1" builtinId="26"/>
    <cellStyle name="Hyperlink" xfId="3" builtinId="8"/>
    <cellStyle name="Ongeldig" xfId="2" builtinId="27"/>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govdata.de/dl-de/by-2-0" TargetMode="External"/><Relationship Id="rId21" Type="http://schemas.openxmlformats.org/officeDocument/2006/relationships/hyperlink" Target="https://www.swisstopo.admin.ch/en/height-model-swisssurface3d" TargetMode="External"/><Relationship Id="rId42" Type="http://schemas.openxmlformats.org/officeDocument/2006/relationships/hyperlink" Target="https://geoportaal.maaamet.ee/eng/spatial-data/elevation-data-p308.html" TargetMode="External"/><Relationship Id="rId47" Type="http://schemas.openxmlformats.org/officeDocument/2006/relationships/hyperlink" Target="https://centrodedescargas.cnig.es/CentroDescargas/lidar-tercera-cobertura" TargetMode="External"/><Relationship Id="rId63" Type="http://schemas.openxmlformats.org/officeDocument/2006/relationships/hyperlink" Target="https://www.landesvermessung.sachsen.de/hoehen-und-3d-stadtmodelle-8641.html" TargetMode="External"/><Relationship Id="rId68" Type="http://schemas.openxmlformats.org/officeDocument/2006/relationships/hyperlink" Target="https://www.gdi-sh.de/gdish/DE/AufgabenZiele/SHMIS.html" TargetMode="External"/><Relationship Id="rId7" Type="http://schemas.openxmlformats.org/officeDocument/2006/relationships/hyperlink" Target="https://gdk.gdi-de.org/geonetwork/srv/eng/catalog.search" TargetMode="External"/><Relationship Id="rId71" Type="http://schemas.openxmlformats.org/officeDocument/2006/relationships/hyperlink" Target="https://geoportal.thueringen.de/gdi-th/download-offene-geodaten/download-hoehendaten" TargetMode="External"/><Relationship Id="rId2" Type="http://schemas.openxmlformats.org/officeDocument/2006/relationships/hyperlink" Target="https://metaver.de/trefferanzeige?docuuid=A39B4E86-15E2-4BF7-BA82-66F9913D5640" TargetMode="External"/><Relationship Id="rId16" Type="http://schemas.openxmlformats.org/officeDocument/2006/relationships/hyperlink" Target="https://spoorinbeeld.nl/" TargetMode="External"/><Relationship Id="rId29" Type="http://schemas.openxmlformats.org/officeDocument/2006/relationships/hyperlink" Target="https://www.govdata.de/dl-de/by-2-0" TargetMode="External"/><Relationship Id="rId11" Type="http://schemas.openxmlformats.org/officeDocument/2006/relationships/hyperlink" Target="https://www.maanmittauslaitos.fi/en/maps-and-spatial-data/datasets-and-interfaces/product-descriptions/laser-scanning-data-5-p" TargetMode="External"/><Relationship Id="rId24" Type="http://schemas.openxmlformats.org/officeDocument/2006/relationships/hyperlink" Target="https://www.icgc.cat/es/Geoinformacion-y-mapas/Datos-y-productos/Bessons-digitals-Elevacions/LiDAR-Territorial" TargetMode="External"/><Relationship Id="rId32" Type="http://schemas.openxmlformats.org/officeDocument/2006/relationships/hyperlink" Target="https://www.govdata.de/dl-de/by-2-0" TargetMode="External"/><Relationship Id="rId37" Type="http://schemas.openxmlformats.org/officeDocument/2006/relationships/hyperlink" Target="https://www.tirol.gv.at/fileadmin/themen/sicherheit/geoinformation/Laserscandaten/ALS_Tirol_Onlinebericht.pdf" TargetMode="External"/><Relationship Id="rId40" Type="http://schemas.openxmlformats.org/officeDocument/2006/relationships/hyperlink" Target="https://geoportaal.maaamet.ee/eng/spatial-data/elevation-data-p308.html" TargetMode="External"/><Relationship Id="rId45" Type="http://schemas.openxmlformats.org/officeDocument/2006/relationships/hyperlink" Target="https://centrodedescargas.cnig.es/CentroDescargas/lidar-tercera-cobertura" TargetMode="External"/><Relationship Id="rId53" Type="http://schemas.openxmlformats.org/officeDocument/2006/relationships/hyperlink" Target="https://metaver.de/trefferanzeige?docuuid=9AEAE758-FC12-4D9E-AF5E-68537A678588" TargetMode="External"/><Relationship Id="rId58" Type="http://schemas.openxmlformats.org/officeDocument/2006/relationships/hyperlink" Target="https://laiv.geodaten-mv.de/afgvk/Geotopographie/Beschreibung?produkt=DGM" TargetMode="External"/><Relationship Id="rId66" Type="http://schemas.openxmlformats.org/officeDocument/2006/relationships/hyperlink" Target="https://www.lvermgeo.sachsen-anhalt.de/de/gdp-open-data.html" TargetMode="External"/><Relationship Id="rId5" Type="http://schemas.openxmlformats.org/officeDocument/2006/relationships/hyperlink" Target="https://geoshop.rlp.de/laserpunkte/laserpunkte_gelaende_lpg.html" TargetMode="External"/><Relationship Id="rId61" Type="http://schemas.openxmlformats.org/officeDocument/2006/relationships/hyperlink" Target="https://metaver.de/trefferanzeige?docuuid=F5A1078F-25C2-4111-B497-877CDCACD9D5&amp;isAddress=true" TargetMode="External"/><Relationship Id="rId19" Type="http://schemas.openxmlformats.org/officeDocument/2006/relationships/hyperlink" Target="https://kortasja.lmi.is/mapview/?application=kortasja&amp;l=en" TargetMode="External"/><Relationship Id="rId14" Type="http://schemas.openxmlformats.org/officeDocument/2006/relationships/hyperlink" Target="https://mapy.tuzvo.sk/HOFM/Default.aspx" TargetMode="External"/><Relationship Id="rId22" Type="http://schemas.openxmlformats.org/officeDocument/2006/relationships/hyperlink" Target="https://gn.mase.gov.it/portale/en/data-distribution-services-pst?p_l_back_url=%2Fportale%2Fen%2Fricerca%3Fr%3Dlidar" TargetMode="External"/><Relationship Id="rId27" Type="http://schemas.openxmlformats.org/officeDocument/2006/relationships/hyperlink" Target="https://www.govdata.de/dl-de/by-2-0" TargetMode="External"/><Relationship Id="rId30" Type="http://schemas.openxmlformats.org/officeDocument/2006/relationships/hyperlink" Target="https://www.govdata.de/dl-de/by-2-0" TargetMode="External"/><Relationship Id="rId35" Type="http://schemas.openxmlformats.org/officeDocument/2006/relationships/hyperlink" Target="https://www.govdata.de/dl-de/by-2-0" TargetMode="External"/><Relationship Id="rId43" Type="http://schemas.openxmlformats.org/officeDocument/2006/relationships/hyperlink" Target="https://www.maanmittauslaitos.fi/en/maps-and-spatial-data/datasets-and-interfaces/product-descriptions/laser-scanning-data-5-p" TargetMode="External"/><Relationship Id="rId48" Type="http://schemas.openxmlformats.org/officeDocument/2006/relationships/hyperlink" Target="https://datos.madrid.es/pages/condiciones-generales-ayuntamiento-de-madrid" TargetMode="External"/><Relationship Id="rId56" Type="http://schemas.openxmlformats.org/officeDocument/2006/relationships/hyperlink" Target="https://hvbg.hessen.de/landesvermessung/geotopographie/3d-daten" TargetMode="External"/><Relationship Id="rId64" Type="http://schemas.openxmlformats.org/officeDocument/2006/relationships/hyperlink" Target="https://www.landesvermessung.sachsen.de/download-dienste-und-testdaten-8647.html" TargetMode="External"/><Relationship Id="rId69" Type="http://schemas.openxmlformats.org/officeDocument/2006/relationships/hyperlink" Target="https://geoportal.thueringen.de/gdi-th/download-offene-geodaten/download-hoehendaten" TargetMode="External"/><Relationship Id="rId8" Type="http://schemas.openxmlformats.org/officeDocument/2006/relationships/hyperlink" Target="https://www.lgln.niedersachsen.de/startseite/geodaten_karten/3d_geobasisdaten/3d_messdaten/3d-messdaten-142870.html" TargetMode="External"/><Relationship Id="rId51" Type="http://schemas.openxmlformats.org/officeDocument/2006/relationships/hyperlink" Target="https://datos.gob.es/en/catalogo/conjuntos-datos?publisher_display_name=Centro+Nacional+de+Informaci%C3%B3n+Geogr%C3%A1fica" TargetMode="External"/><Relationship Id="rId72" Type="http://schemas.openxmlformats.org/officeDocument/2006/relationships/printerSettings" Target="../printerSettings/printerSettings1.bin"/><Relationship Id="rId3" Type="http://schemas.openxmlformats.org/officeDocument/2006/relationships/hyperlink" Target="https://www.laiv-mv.de/Geoinformation/Geobasisdaten/Gelaendemodelle/" TargetMode="External"/><Relationship Id="rId12" Type="http://schemas.openxmlformats.org/officeDocument/2006/relationships/hyperlink" Target="http://www.geoportal.gov.pl/" TargetMode="External"/><Relationship Id="rId17" Type="http://schemas.openxmlformats.org/officeDocument/2006/relationships/hyperlink" Target="https://www.kartverket.no/en/about-kartverket/international-services/story2" TargetMode="External"/><Relationship Id="rId25" Type="http://schemas.openxmlformats.org/officeDocument/2006/relationships/hyperlink" Target="https://www.govdata.de/dl-de/by-2-0" TargetMode="External"/><Relationship Id="rId33" Type="http://schemas.openxmlformats.org/officeDocument/2006/relationships/hyperlink" Target="https://www.govdata.de/dl-de/by-2-0" TargetMode="External"/><Relationship Id="rId38" Type="http://schemas.openxmlformats.org/officeDocument/2006/relationships/hyperlink" Target="https://datastore.brussels/web/data/dataset/ff1124e1-424e-11ee-b156-00090ffe0001" TargetMode="External"/><Relationship Id="rId46" Type="http://schemas.openxmlformats.org/officeDocument/2006/relationships/hyperlink" Target="https://centrodedescargas.cnig.es/CentroDescargas/lidar-tercera-cobertura" TargetMode="External"/><Relationship Id="rId59" Type="http://schemas.openxmlformats.org/officeDocument/2006/relationships/hyperlink" Target="https://www.bezreg-koeln.nrw.de/geobasis-nrw/produkte-und-dienste/hoehenmodelle/3d-messdaten" TargetMode="External"/><Relationship Id="rId67" Type="http://schemas.openxmlformats.org/officeDocument/2006/relationships/hyperlink" Target="https://gdk.gdi-de.org/geonetwork/srv/eng/catalog.search" TargetMode="External"/><Relationship Id="rId20" Type="http://schemas.openxmlformats.org/officeDocument/2006/relationships/hyperlink" Target="https://portal.opentopography.org/dataspace/dataset?opentopoID=OTDS.112018.32635.1" TargetMode="External"/><Relationship Id="rId41" Type="http://schemas.openxmlformats.org/officeDocument/2006/relationships/hyperlink" Target="https://geoportaal.maaamet.ee/eng/spatial-data/elevation-data-p308.html" TargetMode="External"/><Relationship Id="rId54" Type="http://schemas.openxmlformats.org/officeDocument/2006/relationships/hyperlink" Target="https://www.geo.bremen.de/produkte/3d-produkte/hoehenmodelle-12482" TargetMode="External"/><Relationship Id="rId62" Type="http://schemas.openxmlformats.org/officeDocument/2006/relationships/hyperlink" Target="https://www.shop.lvgl.saarland.de/mogi3d/" TargetMode="External"/><Relationship Id="rId70" Type="http://schemas.openxmlformats.org/officeDocument/2006/relationships/hyperlink" Target="https://geoportal.thueringen.de/gdi-th/download-offene-geodaten/download-hoehendaten" TargetMode="External"/><Relationship Id="rId1" Type="http://schemas.openxmlformats.org/officeDocument/2006/relationships/hyperlink" Target="https://gdi.berlin.de/geonetwork/srv/api/records/85a97801-36bb-4627-8790-f5e53b1e38b3" TargetMode="External"/><Relationship Id="rId6" Type="http://schemas.openxmlformats.org/officeDocument/2006/relationships/hyperlink" Target="https://www.shop.lvgl.saarland.de/index.php?option=com_virtuemart&amp;view=category&amp;virtuemart_category_id=1067&amp;Itemid=156" TargetMode="External"/><Relationship Id="rId15" Type="http://schemas.openxmlformats.org/officeDocument/2006/relationships/hyperlink" Target="https://geoportale.regione.emilia-romagna.it/approfondimenti/rer23_24" TargetMode="External"/><Relationship Id="rId23" Type="http://schemas.openxmlformats.org/officeDocument/2006/relationships/hyperlink" Target="https://gn.mase.gov.it/portale/en/data-distribution-services-pst?p_l_back_url=%2Fportale%2Fen%2Fricerca%3Fr%3Dlidar" TargetMode="External"/><Relationship Id="rId28" Type="http://schemas.openxmlformats.org/officeDocument/2006/relationships/hyperlink" Target="https://www.govdata.de/dl-de/by-2-0" TargetMode="External"/><Relationship Id="rId36" Type="http://schemas.openxmlformats.org/officeDocument/2006/relationships/hyperlink" Target="https://www.govdata.de/dl-de/by-2-0" TargetMode="External"/><Relationship Id="rId49" Type="http://schemas.openxmlformats.org/officeDocument/2006/relationships/hyperlink" Target="https://www.swisstopo.admin.ch/en/height-model-swisssurface3d" TargetMode="External"/><Relationship Id="rId57" Type="http://schemas.openxmlformats.org/officeDocument/2006/relationships/hyperlink" Target="https://hvbg.hessen.de/landesvermessung/geotopographie/3d-daten/airborne-laserscanning" TargetMode="External"/><Relationship Id="rId10" Type="http://schemas.openxmlformats.org/officeDocument/2006/relationships/hyperlink" Target="https://geoportaal.maaamet.ee/eng/spatial-data/elevation-data-p308.html" TargetMode="External"/><Relationship Id="rId31" Type="http://schemas.openxmlformats.org/officeDocument/2006/relationships/hyperlink" Target="https://www.govdata.de/dl-de/by-2-0" TargetMode="External"/><Relationship Id="rId44" Type="http://schemas.openxmlformats.org/officeDocument/2006/relationships/hyperlink" Target="http://gis.arso.gov.si/evode/profile.aspx?id=atlas_voda_Lidar@Arso&amp;culture=en-US" TargetMode="External"/><Relationship Id="rId52" Type="http://schemas.openxmlformats.org/officeDocument/2006/relationships/hyperlink" Target="https://datos.gob.es/en/catalogo/conjuntos-datos?publisher_display_name=Centro+Nacional+de+Informaci%C3%B3n+Geogr%C3%A1fica" TargetMode="External"/><Relationship Id="rId60" Type="http://schemas.openxmlformats.org/officeDocument/2006/relationships/hyperlink" Target="https://lvermgeo.rlp.de/fileadmin/lvermgeo/pdf/produktblaetter/Laserpunkte.pdf" TargetMode="External"/><Relationship Id="rId65" Type="http://schemas.openxmlformats.org/officeDocument/2006/relationships/hyperlink" Target="https://www.lvermgeo.sachsen-anhalt.de/de/gdp-3d-messdaten.html" TargetMode="External"/><Relationship Id="rId4" Type="http://schemas.openxmlformats.org/officeDocument/2006/relationships/hyperlink" Target="https://www.opengeodata.nrw.de/produkte/geobasis/hm/3dm_l_las/3dm_l_las/" TargetMode="External"/><Relationship Id="rId9" Type="http://schemas.openxmlformats.org/officeDocument/2006/relationships/hyperlink" Target="https://geoportal.cuzk.cz/(S(cnecbknewnpugy55t0ifgc0v))/Default.aspx?mode=TextMeta&amp;metadataXSL=full&amp;side=vyskopis&amp;metadataID=CZ-CUZK-DMR5G-V" TargetMode="External"/><Relationship Id="rId13" Type="http://schemas.openxmlformats.org/officeDocument/2006/relationships/hyperlink" Target="https://cdd.dgterritorio.gov.pt/dgt-fe/catalogos/colecoes?filter=LiDAR+-+Modelos+Digitais+do+Relevo&amp;language=en" TargetMode="External"/><Relationship Id="rId18" Type="http://schemas.openxmlformats.org/officeDocument/2006/relationships/hyperlink" Target="https://data.gov.ie/dataset/open-topographic-lidar-data" TargetMode="External"/><Relationship Id="rId39" Type="http://schemas.openxmlformats.org/officeDocument/2006/relationships/hyperlink" Target="https://geoportal.cuzk.cz/(S(cnecbknewnpugy55t0ifgc0v))/Default.aspx?mode=TextMeta&amp;metadataXSL=full&amp;side=vyskopis&amp;metadataID=CZ-CUZK-DMR5G-V" TargetMode="External"/><Relationship Id="rId34" Type="http://schemas.openxmlformats.org/officeDocument/2006/relationships/hyperlink" Target="https://www.govdata.de/dl-de/by-2-0" TargetMode="External"/><Relationship Id="rId50" Type="http://schemas.openxmlformats.org/officeDocument/2006/relationships/hyperlink" Target="https://datos.gob.es/en/catalogo/conjuntos-datos?publisher_display_name=Centro+Nacional+de+Informaci%C3%B3n+Geogr%C3%A1fica" TargetMode="External"/><Relationship Id="rId55" Type="http://schemas.openxmlformats.org/officeDocument/2006/relationships/hyperlink" Target="https://geoportal-hamburg.de/?mdid=A39B4E86-15E2-4BF7-BA82-66F9913D564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E736EA-B957-4F0A-8B9F-9843A7BBC402}">
  <dimension ref="A1:BJ153"/>
  <sheetViews>
    <sheetView tabSelected="1" topLeftCell="A79" zoomScaleNormal="100" workbookViewId="0">
      <pane xSplit="1" topLeftCell="K1" activePane="topRight" state="frozen"/>
      <selection pane="topRight" activeCell="E133" sqref="E133"/>
    </sheetView>
  </sheetViews>
  <sheetFormatPr defaultRowHeight="15" x14ac:dyDescent="0.25"/>
  <cols>
    <col min="1" max="1" width="27.28515625" bestFit="1" customWidth="1"/>
    <col min="3" max="3" width="18.85546875" customWidth="1"/>
    <col min="4" max="4" width="27.28515625" bestFit="1" customWidth="1"/>
    <col min="5" max="5" width="27.28515625" customWidth="1"/>
    <col min="6" max="6" width="19.28515625" customWidth="1"/>
    <col min="7" max="7" width="27.28515625" customWidth="1"/>
    <col min="9" max="9" width="27.28515625" customWidth="1"/>
    <col min="10" max="13" width="39.7109375" customWidth="1"/>
    <col min="15" max="17" width="12.5703125" customWidth="1"/>
    <col min="19" max="19" width="12.5703125" customWidth="1"/>
    <col min="20" max="21" width="12" bestFit="1" customWidth="1"/>
    <col min="22" max="22" width="13" bestFit="1" customWidth="1"/>
    <col min="23" max="23" width="12.42578125" bestFit="1" customWidth="1"/>
    <col min="24" max="24" width="12.42578125" customWidth="1"/>
    <col min="25" max="25" width="12" bestFit="1" customWidth="1"/>
    <col min="26" max="26" width="9.28515625" customWidth="1"/>
    <col min="28" max="28" width="10" bestFit="1" customWidth="1"/>
    <col min="31" max="31" width="119.42578125" customWidth="1"/>
    <col min="32" max="32" width="12.85546875" bestFit="1" customWidth="1"/>
    <col min="33" max="34" width="27.7109375" customWidth="1"/>
    <col min="35" max="35" width="16.85546875" bestFit="1" customWidth="1"/>
    <col min="36" max="36" width="18.42578125" bestFit="1" customWidth="1"/>
    <col min="37" max="37" width="24.7109375" bestFit="1" customWidth="1"/>
  </cols>
  <sheetData>
    <row r="1" spans="1:54" s="1" customFormat="1" x14ac:dyDescent="0.25">
      <c r="A1" s="1" t="s">
        <v>2</v>
      </c>
      <c r="B1" s="1" t="s">
        <v>0</v>
      </c>
      <c r="C1" s="1" t="s">
        <v>1</v>
      </c>
      <c r="D1" s="1" t="s">
        <v>2</v>
      </c>
      <c r="E1" s="1" t="s">
        <v>364</v>
      </c>
      <c r="F1" s="1" t="s">
        <v>337</v>
      </c>
      <c r="G1" s="1" t="s">
        <v>326</v>
      </c>
      <c r="H1" s="1" t="s">
        <v>659</v>
      </c>
      <c r="I1" s="1" t="s">
        <v>732</v>
      </c>
      <c r="J1" s="1" t="s">
        <v>3</v>
      </c>
      <c r="K1" s="1" t="s">
        <v>4</v>
      </c>
      <c r="L1" s="1" t="s">
        <v>5</v>
      </c>
      <c r="M1" s="1" t="s">
        <v>6</v>
      </c>
      <c r="N1" s="1" t="s">
        <v>320</v>
      </c>
      <c r="O1" s="1" t="s">
        <v>7</v>
      </c>
      <c r="P1" s="1" t="s">
        <v>347</v>
      </c>
      <c r="Q1" s="1" t="s">
        <v>348</v>
      </c>
      <c r="R1" s="1" t="s">
        <v>349</v>
      </c>
      <c r="S1" s="1" t="s">
        <v>350</v>
      </c>
      <c r="T1" s="1" t="s">
        <v>8</v>
      </c>
      <c r="U1" s="1" t="s">
        <v>9</v>
      </c>
      <c r="V1" s="1" t="s">
        <v>10</v>
      </c>
      <c r="W1" s="1" t="s">
        <v>11</v>
      </c>
      <c r="X1" s="1" t="s">
        <v>12</v>
      </c>
      <c r="Y1" s="1" t="s">
        <v>13</v>
      </c>
      <c r="Z1" s="1" t="s">
        <v>14</v>
      </c>
      <c r="AA1" s="1" t="s">
        <v>355</v>
      </c>
      <c r="AB1" s="1" t="s">
        <v>356</v>
      </c>
      <c r="AC1" s="1" t="s">
        <v>15</v>
      </c>
      <c r="AD1" s="1" t="s">
        <v>367</v>
      </c>
      <c r="AE1" s="1" t="s">
        <v>368</v>
      </c>
      <c r="AF1" s="16" t="s">
        <v>16</v>
      </c>
      <c r="AG1" s="1" t="s">
        <v>299</v>
      </c>
      <c r="AH1" s="1" t="s">
        <v>715</v>
      </c>
      <c r="AI1" s="26" t="s">
        <v>282</v>
      </c>
      <c r="AJ1" s="26" t="s">
        <v>300</v>
      </c>
      <c r="AK1" s="26" t="s">
        <v>284</v>
      </c>
      <c r="AL1" s="26" t="s">
        <v>285</v>
      </c>
      <c r="AM1" s="26" t="s">
        <v>286</v>
      </c>
      <c r="AN1" s="26" t="s">
        <v>301</v>
      </c>
      <c r="AO1" s="26" t="s">
        <v>302</v>
      </c>
      <c r="AP1" s="26" t="s">
        <v>303</v>
      </c>
      <c r="AQ1" s="26" t="s">
        <v>288</v>
      </c>
      <c r="AR1" s="26" t="s">
        <v>304</v>
      </c>
      <c r="AS1" s="26" t="s">
        <v>305</v>
      </c>
      <c r="AT1" s="26" t="s">
        <v>306</v>
      </c>
      <c r="AU1" s="26" t="s">
        <v>307</v>
      </c>
      <c r="AV1" s="26" t="s">
        <v>308</v>
      </c>
      <c r="AW1" s="26" t="s">
        <v>309</v>
      </c>
      <c r="AX1" s="26" t="s">
        <v>310</v>
      </c>
      <c r="AY1" s="26" t="s">
        <v>311</v>
      </c>
      <c r="AZ1" s="26" t="s">
        <v>312</v>
      </c>
      <c r="BA1" s="26" t="s">
        <v>313</v>
      </c>
      <c r="BB1" s="1" t="s">
        <v>313</v>
      </c>
    </row>
    <row r="2" spans="1:54" s="4" customFormat="1" x14ac:dyDescent="0.25">
      <c r="A2" s="4" t="s">
        <v>17</v>
      </c>
      <c r="B2" s="4">
        <v>0</v>
      </c>
      <c r="C2" s="4" t="s">
        <v>17</v>
      </c>
      <c r="D2" s="4" t="s">
        <v>17</v>
      </c>
      <c r="I2" s="4">
        <v>0</v>
      </c>
      <c r="V2" t="str">
        <f>IF(NOT(ISBLANK(T2)), IF(T2&gt;=AVERAGE($T$2:$T$124), 1, 0), IF(NOT(ISBLANK(U2)), IF(U2&gt;=AVERAGE($U$2:$U$124), 1, 0), "geen data"))</f>
        <v>geen data</v>
      </c>
      <c r="X2" s="4" t="str">
        <f>IF(ISBLANK(W2), "geen data", IF(W2&lt;=AVERAGE($W$2:$W$124), 1, 0))</f>
        <v>geen data</v>
      </c>
      <c r="Z2" s="4" t="str">
        <f>IF(ISBLANK(Y2), "geen data", IF(Y2&lt;=AVERAGE($Y$2:$Y$124), 1, 0))</f>
        <v>geen data</v>
      </c>
      <c r="AF2" s="4" t="s">
        <v>18</v>
      </c>
      <c r="AG2" s="4">
        <v>0</v>
      </c>
      <c r="AI2" s="22"/>
      <c r="AJ2" s="22"/>
      <c r="AK2" s="22"/>
      <c r="AL2" s="22"/>
      <c r="AM2" s="22"/>
      <c r="AN2" s="22"/>
      <c r="AO2" s="22"/>
      <c r="AP2" s="22"/>
      <c r="AQ2" s="22"/>
      <c r="AR2" s="22"/>
      <c r="AS2" s="22"/>
      <c r="AT2" s="22"/>
      <c r="AU2" s="22"/>
      <c r="AV2" s="22"/>
      <c r="AW2" s="22"/>
      <c r="AX2" s="22"/>
      <c r="AY2" s="22"/>
      <c r="AZ2" s="22"/>
      <c r="BA2" s="22"/>
    </row>
    <row r="3" spans="1:54" s="4" customFormat="1" x14ac:dyDescent="0.25">
      <c r="A3" s="4" t="s">
        <v>19</v>
      </c>
      <c r="B3" s="4">
        <v>0</v>
      </c>
      <c r="C3" s="4" t="s">
        <v>19</v>
      </c>
      <c r="D3" s="4" t="s">
        <v>19</v>
      </c>
      <c r="I3" s="4">
        <v>0</v>
      </c>
      <c r="V3" t="str">
        <f>IF(NOT(ISBLANK(T3)), IF(T3&gt;=AVERAGE($T$2:$T$124), 1, 0), IF(NOT(ISBLANK(U3)), IF(U3&gt;=AVERAGE($U$2:$U$124), 1, 0), "geen data"))</f>
        <v>geen data</v>
      </c>
      <c r="X3" s="4" t="str">
        <f>IF(ISBLANK(W3), "geen data", IF(W3&lt;=AVERAGE($W$2:$W$124), 1, 0))</f>
        <v>geen data</v>
      </c>
      <c r="Z3" s="4" t="str">
        <f>IF(ISBLANK(Y3), "geen data", IF(Y3&lt;=AVERAGE($Y$2:$Y$124), 1, 0))</f>
        <v>geen data</v>
      </c>
      <c r="AF3" s="4" t="s">
        <v>18</v>
      </c>
      <c r="AG3" s="4">
        <v>0</v>
      </c>
      <c r="AI3" s="22"/>
      <c r="AJ3" s="22"/>
      <c r="AK3" s="22"/>
      <c r="AL3" s="22"/>
      <c r="AM3" s="22"/>
      <c r="AN3" s="22"/>
      <c r="AO3" s="22"/>
      <c r="AP3" s="22"/>
      <c r="AQ3" s="22"/>
      <c r="AR3" s="22"/>
      <c r="AS3" s="22"/>
      <c r="AT3" s="22"/>
      <c r="AU3" s="22"/>
      <c r="AV3" s="22"/>
      <c r="AW3" s="22"/>
      <c r="AX3" s="22"/>
      <c r="AY3" s="22"/>
      <c r="AZ3" s="22"/>
      <c r="BA3" s="22"/>
    </row>
    <row r="4" spans="1:54" s="4" customFormat="1" x14ac:dyDescent="0.25">
      <c r="A4" s="4" t="s">
        <v>20</v>
      </c>
      <c r="B4" s="4">
        <v>0</v>
      </c>
      <c r="C4" s="4" t="s">
        <v>20</v>
      </c>
      <c r="D4" s="4" t="s">
        <v>20</v>
      </c>
      <c r="I4" s="4">
        <v>0</v>
      </c>
      <c r="J4" t="s">
        <v>3</v>
      </c>
      <c r="K4" s="2" t="s">
        <v>21</v>
      </c>
      <c r="L4" s="2"/>
      <c r="M4" t="s">
        <v>22</v>
      </c>
      <c r="V4" t="str">
        <f>IF(NOT(ISBLANK(T4)), IF(T4&gt;=AVERAGE($T$2:$T$124), 1, 0), IF(NOT(ISBLANK(U4)), IF(U4&gt;=AVERAGE($U$2:$U$124), 1, 0), "geen data"))</f>
        <v>geen data</v>
      </c>
      <c r="X4" s="4" t="str">
        <f>IF(ISBLANK(W4), "geen data", IF(W4&lt;=AVERAGE($W$2:$W$124), 1, 0))</f>
        <v>geen data</v>
      </c>
      <c r="Z4" s="4" t="str">
        <f>IF(ISBLANK(Y4), "geen data", IF(Y4&lt;=AVERAGE($Y$2:$Y$124), 1, 0))</f>
        <v>geen data</v>
      </c>
      <c r="AF4" s="4" t="s">
        <v>23</v>
      </c>
      <c r="AG4" s="4">
        <v>0</v>
      </c>
      <c r="AI4" s="22"/>
      <c r="AJ4" s="22"/>
      <c r="AK4" s="22"/>
      <c r="AL4" s="22"/>
      <c r="AM4" s="22"/>
      <c r="AN4" s="22"/>
      <c r="AO4" s="22"/>
      <c r="AP4" s="22"/>
      <c r="AQ4" s="22"/>
      <c r="AR4" s="22"/>
      <c r="AS4" s="22"/>
      <c r="AT4" s="22"/>
      <c r="AU4" s="22"/>
      <c r="AV4" s="22"/>
      <c r="AW4" s="22"/>
      <c r="AX4" s="22"/>
      <c r="AY4" s="22"/>
      <c r="AZ4" s="22"/>
      <c r="BA4" s="22"/>
    </row>
    <row r="5" spans="1:54" ht="14.25" customHeight="1" x14ac:dyDescent="0.25">
      <c r="A5" t="s">
        <v>24</v>
      </c>
      <c r="B5" s="4">
        <v>1</v>
      </c>
      <c r="C5" s="4" t="s">
        <v>20</v>
      </c>
      <c r="D5" t="s">
        <v>24</v>
      </c>
      <c r="F5" t="s">
        <v>339</v>
      </c>
      <c r="G5" t="s">
        <v>319</v>
      </c>
      <c r="H5" t="s">
        <v>660</v>
      </c>
      <c r="I5" s="4">
        <v>0</v>
      </c>
      <c r="J5" t="s">
        <v>25</v>
      </c>
      <c r="K5" s="2" t="s">
        <v>317</v>
      </c>
      <c r="L5" s="2" t="s">
        <v>318</v>
      </c>
      <c r="M5" t="s">
        <v>26</v>
      </c>
      <c r="O5" t="s">
        <v>35</v>
      </c>
      <c r="U5">
        <v>15</v>
      </c>
      <c r="V5">
        <f>IF(NOT(ISBLANK(T5)), IF(T5&gt;=AVERAGE($T$2:$T$124), 1, 0), IF(NOT(ISBLANK(U5)), IF(U5&gt;=AVERAGE($U$2:$U$124), 1, 0), "geen data"))</f>
        <v>0</v>
      </c>
      <c r="W5">
        <v>0.15</v>
      </c>
      <c r="X5" s="4">
        <f>IF(ISBLANK(W5), "geen data", IF(W5&lt;=AVERAGE($W$2:$W$124), 1, 0))</f>
        <v>1</v>
      </c>
      <c r="Y5">
        <v>0.1</v>
      </c>
      <c r="Z5" s="4">
        <f>IF(ISBLANK(Y5), "geen data", IF(Y5&lt;=AVERAGE($Y$2:$Y$124), 1, 0))</f>
        <v>1</v>
      </c>
      <c r="AB5">
        <v>2007</v>
      </c>
      <c r="AC5" t="s">
        <v>27</v>
      </c>
      <c r="AD5" s="10" t="s">
        <v>28</v>
      </c>
      <c r="AE5" t="s">
        <v>316</v>
      </c>
      <c r="AF5" s="4" t="s">
        <v>29</v>
      </c>
    </row>
    <row r="6" spans="1:54" ht="14.25" customHeight="1" x14ac:dyDescent="0.25">
      <c r="A6" t="s">
        <v>24</v>
      </c>
      <c r="B6" s="4">
        <v>1</v>
      </c>
      <c r="C6" s="4" t="s">
        <v>20</v>
      </c>
      <c r="D6" t="s">
        <v>24</v>
      </c>
      <c r="F6" t="s">
        <v>339</v>
      </c>
      <c r="G6" t="s">
        <v>319</v>
      </c>
      <c r="H6" t="s">
        <v>660</v>
      </c>
      <c r="I6" s="4">
        <v>1</v>
      </c>
      <c r="J6" t="s">
        <v>25</v>
      </c>
      <c r="K6" s="2" t="s">
        <v>317</v>
      </c>
      <c r="L6" s="2" t="s">
        <v>318</v>
      </c>
      <c r="M6" t="s">
        <v>26</v>
      </c>
      <c r="O6" t="s">
        <v>314</v>
      </c>
      <c r="U6">
        <v>15</v>
      </c>
      <c r="V6">
        <f>IF(NOT(ISBLANK(T6)), IF(T6&gt;=AVERAGE($T$2:$T$124), 1, 0), IF(NOT(ISBLANK(U6)), IF(U6&gt;=AVERAGE($U$2:$U$124), 1, 0), "geen data"))</f>
        <v>0</v>
      </c>
      <c r="W6">
        <v>0.15</v>
      </c>
      <c r="X6" s="4">
        <f>IF(ISBLANK(W6), "geen data", IF(W6&lt;=AVERAGE($W$2:$W$124), 1, 0))</f>
        <v>1</v>
      </c>
      <c r="Y6">
        <v>0.1</v>
      </c>
      <c r="Z6" s="4">
        <f>IF(ISBLANK(Y6), "geen data", IF(Y6&lt;=AVERAGE($Y$2:$Y$124), 1, 0))</f>
        <v>1</v>
      </c>
      <c r="AB6">
        <v>2020</v>
      </c>
      <c r="AC6" t="s">
        <v>27</v>
      </c>
      <c r="AD6" s="10" t="s">
        <v>28</v>
      </c>
      <c r="AE6" t="s">
        <v>316</v>
      </c>
      <c r="AF6" s="4" t="s">
        <v>29</v>
      </c>
    </row>
    <row r="7" spans="1:54" ht="14.25" customHeight="1" x14ac:dyDescent="0.25">
      <c r="A7" t="s">
        <v>24</v>
      </c>
      <c r="B7" s="4">
        <v>1</v>
      </c>
      <c r="C7" s="4" t="s">
        <v>20</v>
      </c>
      <c r="D7" t="s">
        <v>24</v>
      </c>
      <c r="F7" t="s">
        <v>339</v>
      </c>
      <c r="G7" t="s">
        <v>319</v>
      </c>
      <c r="H7" t="s">
        <v>660</v>
      </c>
      <c r="I7" s="4">
        <v>2</v>
      </c>
      <c r="J7" t="s">
        <v>25</v>
      </c>
      <c r="K7" s="2" t="s">
        <v>317</v>
      </c>
      <c r="L7" s="2" t="s">
        <v>318</v>
      </c>
      <c r="M7" t="s">
        <v>26</v>
      </c>
      <c r="O7" t="s">
        <v>314</v>
      </c>
      <c r="U7">
        <v>15</v>
      </c>
      <c r="V7">
        <f>IF(NOT(ISBLANK(T7)), IF(T7&gt;=AVERAGE($T$2:$T$124), 1, 0), IF(NOT(ISBLANK(U7)), IF(U7&gt;=AVERAGE($U$2:$U$124), 1, 0), "geen data"))</f>
        <v>0</v>
      </c>
      <c r="W7">
        <v>0.15</v>
      </c>
      <c r="X7" s="4">
        <f>IF(ISBLANK(W7), "geen data", IF(W7&lt;=AVERAGE($W$2:$W$124), 1, 0))</f>
        <v>1</v>
      </c>
      <c r="Y7">
        <v>0.1</v>
      </c>
      <c r="Z7" s="4">
        <f>IF(ISBLANK(Y7), "geen data", IF(Y7&lt;=AVERAGE($Y$2:$Y$124), 1, 0))</f>
        <v>1</v>
      </c>
      <c r="AB7">
        <v>2023</v>
      </c>
      <c r="AC7" t="s">
        <v>27</v>
      </c>
      <c r="AD7" s="10" t="s">
        <v>315</v>
      </c>
      <c r="AE7" t="s">
        <v>316</v>
      </c>
      <c r="AF7" s="4" t="s">
        <v>29</v>
      </c>
    </row>
    <row r="8" spans="1:54" s="4" customFormat="1" x14ac:dyDescent="0.25">
      <c r="A8" s="4" t="s">
        <v>30</v>
      </c>
      <c r="B8" s="4">
        <v>1</v>
      </c>
      <c r="C8" s="4" t="s">
        <v>20</v>
      </c>
      <c r="D8" s="4" t="s">
        <v>30</v>
      </c>
      <c r="K8" s="2" t="s">
        <v>21</v>
      </c>
      <c r="L8" s="2"/>
      <c r="V8" t="str">
        <f>IF(NOT(ISBLANK(T8)), IF(T8&gt;=AVERAGE($T$2:$T$124), 1, 0), IF(NOT(ISBLANK(U8)), IF(U8&gt;=AVERAGE($U$2:$U$124), 1, 0), "geen data"))</f>
        <v>geen data</v>
      </c>
      <c r="X8" s="4" t="str">
        <f>IF(ISBLANK(W8), "geen data", IF(W8&lt;=AVERAGE($W$2:$W$124), 1, 0))</f>
        <v>geen data</v>
      </c>
      <c r="Z8" s="4" t="str">
        <f>IF(ISBLANK(Y8), "geen data", IF(Y8&lt;=AVERAGE($Y$2:$Y$124), 1, 0))</f>
        <v>geen data</v>
      </c>
      <c r="AE8" s="11" t="s">
        <v>31</v>
      </c>
      <c r="AF8" s="4" t="s">
        <v>18</v>
      </c>
      <c r="AI8" s="22"/>
      <c r="AJ8" s="22"/>
      <c r="AK8" s="22"/>
      <c r="AL8" s="22"/>
      <c r="AM8" s="22"/>
      <c r="AN8" s="22"/>
      <c r="AO8" s="22"/>
      <c r="AP8" s="22"/>
      <c r="AQ8" s="22"/>
      <c r="AR8" s="22"/>
      <c r="AS8" s="22"/>
      <c r="AT8" s="22"/>
      <c r="AU8" s="22"/>
      <c r="AV8" s="22"/>
      <c r="AW8" s="22"/>
      <c r="AX8" s="22"/>
      <c r="AY8" s="22"/>
      <c r="AZ8" s="22"/>
      <c r="BA8" s="22"/>
    </row>
    <row r="9" spans="1:54" s="4" customFormat="1" x14ac:dyDescent="0.25">
      <c r="A9" s="4" t="s">
        <v>32</v>
      </c>
      <c r="B9" s="4">
        <v>1</v>
      </c>
      <c r="C9" s="4" t="s">
        <v>20</v>
      </c>
      <c r="D9" s="4" t="s">
        <v>32</v>
      </c>
      <c r="K9" s="2" t="s">
        <v>21</v>
      </c>
      <c r="L9" s="2"/>
      <c r="V9" t="str">
        <f>IF(NOT(ISBLANK(T9)), IF(T9&gt;=AVERAGE($T$2:$T$124), 1, 0), IF(NOT(ISBLANK(U9)), IF(U9&gt;=AVERAGE($U$2:$U$124), 1, 0), "geen data"))</f>
        <v>geen data</v>
      </c>
      <c r="X9" s="4" t="str">
        <f>IF(ISBLANK(W9), "geen data", IF(W9&lt;=AVERAGE($W$2:$W$124), 1, 0))</f>
        <v>geen data</v>
      </c>
      <c r="Z9" s="4" t="str">
        <f>IF(ISBLANK(Y9), "geen data", IF(Y9&lt;=AVERAGE($Y$2:$Y$124), 1, 0))</f>
        <v>geen data</v>
      </c>
      <c r="AE9" s="11" t="s">
        <v>33</v>
      </c>
      <c r="AF9" s="4" t="s">
        <v>18</v>
      </c>
      <c r="AI9" s="22"/>
      <c r="AJ9" s="22"/>
      <c r="AK9" s="22"/>
      <c r="AL9" s="22"/>
      <c r="AM9" s="22"/>
      <c r="AN9" s="22"/>
      <c r="AO9" s="22"/>
      <c r="AP9" s="22"/>
      <c r="AQ9" s="22"/>
      <c r="AR9" s="22"/>
      <c r="AS9" s="22"/>
      <c r="AT9" s="22"/>
      <c r="AU9" s="22"/>
      <c r="AV9" s="22"/>
      <c r="AW9" s="22"/>
      <c r="AX9" s="22"/>
      <c r="AY9" s="22"/>
      <c r="AZ9" s="22"/>
      <c r="BA9" s="22"/>
    </row>
    <row r="10" spans="1:54" x14ac:dyDescent="0.25">
      <c r="A10" t="s">
        <v>34</v>
      </c>
      <c r="B10" s="4">
        <v>1</v>
      </c>
      <c r="C10" s="4" t="s">
        <v>20</v>
      </c>
      <c r="D10" t="s">
        <v>34</v>
      </c>
      <c r="F10" s="21" t="s">
        <v>340</v>
      </c>
      <c r="H10" t="s">
        <v>661</v>
      </c>
      <c r="I10" s="4">
        <v>2</v>
      </c>
      <c r="J10" t="s">
        <v>25</v>
      </c>
      <c r="K10" s="2" t="s">
        <v>21</v>
      </c>
      <c r="L10" s="2"/>
      <c r="M10" t="s">
        <v>342</v>
      </c>
      <c r="N10" t="s">
        <v>343</v>
      </c>
      <c r="O10" t="s">
        <v>35</v>
      </c>
      <c r="P10">
        <v>1</v>
      </c>
      <c r="Q10">
        <v>1</v>
      </c>
      <c r="R10" t="s">
        <v>351</v>
      </c>
      <c r="S10" t="s">
        <v>352</v>
      </c>
      <c r="V10" t="str">
        <f>IF(NOT(ISBLANK(T10)), IF(T10&gt;=AVERAGE($T$2:$T$124), 1, 0), IF(NOT(ISBLANK(U10)), IF(U10&gt;=AVERAGE($U$2:$U$124), 1, 0), "geen data"))</f>
        <v>geen data</v>
      </c>
      <c r="W10">
        <v>0.15</v>
      </c>
      <c r="X10" s="4">
        <f>IF(ISBLANK(W10), "geen data", IF(W10&lt;=AVERAGE($W$2:$W$124), 1, 0))</f>
        <v>1</v>
      </c>
      <c r="Y10">
        <v>0.04</v>
      </c>
      <c r="Z10" s="4">
        <f>IF(ISBLANK(Y10), "geen data", IF(Y10&lt;=AVERAGE($Y$2:$Y$124), 1, 0))</f>
        <v>1</v>
      </c>
      <c r="AB10">
        <v>2017</v>
      </c>
      <c r="AC10" t="s">
        <v>27</v>
      </c>
      <c r="AD10" t="s">
        <v>341</v>
      </c>
      <c r="AE10" s="10" t="s">
        <v>36</v>
      </c>
      <c r="AF10" s="4" t="s">
        <v>37</v>
      </c>
    </row>
    <row r="11" spans="1:54" x14ac:dyDescent="0.25">
      <c r="A11" t="s">
        <v>38</v>
      </c>
      <c r="B11" s="4">
        <v>1</v>
      </c>
      <c r="C11" s="4" t="s">
        <v>20</v>
      </c>
      <c r="D11" t="s">
        <v>38</v>
      </c>
      <c r="F11" t="s">
        <v>60</v>
      </c>
      <c r="G11" t="s">
        <v>319</v>
      </c>
      <c r="H11" t="s">
        <v>661</v>
      </c>
      <c r="I11" s="4">
        <v>1</v>
      </c>
      <c r="J11" t="s">
        <v>25</v>
      </c>
      <c r="K11" t="s">
        <v>345</v>
      </c>
      <c r="L11" t="s">
        <v>346</v>
      </c>
      <c r="M11" t="s">
        <v>354</v>
      </c>
      <c r="N11" t="s">
        <v>343</v>
      </c>
      <c r="O11" t="s">
        <v>35</v>
      </c>
      <c r="P11">
        <v>1</v>
      </c>
      <c r="Q11">
        <v>1</v>
      </c>
      <c r="R11">
        <v>1</v>
      </c>
      <c r="S11">
        <v>1</v>
      </c>
      <c r="T11">
        <v>1</v>
      </c>
      <c r="U11">
        <v>4</v>
      </c>
      <c r="V11">
        <f>IF(NOT(ISBLANK(T11)), IF(T11&gt;=AVERAGE($T$2:$T$124), 1, 0), IF(NOT(ISBLANK(U11)), IF(U11&gt;=AVERAGE($U$2:$U$124), 1, 0), "geen data"))</f>
        <v>0</v>
      </c>
      <c r="W11">
        <v>0.15</v>
      </c>
      <c r="X11" s="4">
        <f>IF(ISBLANK(W11), "geen data", IF(W11&lt;=AVERAGE($W$2:$W$124), 1, 0))</f>
        <v>1</v>
      </c>
      <c r="Y11">
        <v>0.1</v>
      </c>
      <c r="Z11" s="4">
        <f>IF(ISBLANK(Y11), "geen data", IF(Y11&lt;=AVERAGE($Y$2:$Y$124), 1, 0))</f>
        <v>1</v>
      </c>
      <c r="AA11">
        <v>2006</v>
      </c>
      <c r="AB11">
        <v>2010</v>
      </c>
      <c r="AD11" s="6" t="s">
        <v>357</v>
      </c>
      <c r="AE11" s="10" t="s">
        <v>344</v>
      </c>
      <c r="AF11" s="4" t="s">
        <v>37</v>
      </c>
    </row>
    <row r="12" spans="1:54" x14ac:dyDescent="0.25">
      <c r="A12" t="s">
        <v>38</v>
      </c>
      <c r="B12" s="4">
        <v>1</v>
      </c>
      <c r="C12" s="4" t="s">
        <v>20</v>
      </c>
      <c r="D12" t="s">
        <v>38</v>
      </c>
      <c r="F12" t="s">
        <v>60</v>
      </c>
      <c r="G12" t="s">
        <v>319</v>
      </c>
      <c r="H12" t="s">
        <v>661</v>
      </c>
      <c r="I12" s="4">
        <v>2</v>
      </c>
      <c r="J12" t="s">
        <v>25</v>
      </c>
      <c r="K12" t="s">
        <v>345</v>
      </c>
      <c r="L12" t="s">
        <v>346</v>
      </c>
      <c r="M12" t="s">
        <v>354</v>
      </c>
      <c r="N12" t="s">
        <v>343</v>
      </c>
      <c r="O12" t="s">
        <v>35</v>
      </c>
      <c r="P12">
        <v>1</v>
      </c>
      <c r="Q12">
        <v>1</v>
      </c>
      <c r="R12">
        <v>1</v>
      </c>
      <c r="S12">
        <v>1</v>
      </c>
      <c r="T12">
        <v>8</v>
      </c>
      <c r="V12">
        <f>IF(NOT(ISBLANK(T12)), IF(T12&gt;=AVERAGE($T$2:$T$124), 1, 0), IF(NOT(ISBLANK(U12)), IF(U12&gt;=AVERAGE($U$2:$U$124), 1, 0), "geen data"))</f>
        <v>1</v>
      </c>
      <c r="W12">
        <v>0.15</v>
      </c>
      <c r="X12" s="4">
        <f>IF(ISBLANK(W12), "geen data", IF(W12&lt;=AVERAGE($W$2:$W$124), 1, 0))</f>
        <v>1</v>
      </c>
      <c r="Y12">
        <v>0.1</v>
      </c>
      <c r="Z12" s="4">
        <f>IF(ISBLANK(Y12), "geen data", IF(Y12&lt;=AVERAGE($Y$2:$Y$124), 1, 0))</f>
        <v>1</v>
      </c>
      <c r="AA12">
        <v>2017</v>
      </c>
      <c r="AB12">
        <v>2023</v>
      </c>
      <c r="AD12" s="10" t="s">
        <v>353</v>
      </c>
      <c r="AE12" s="10" t="s">
        <v>344</v>
      </c>
      <c r="AF12" s="4" t="s">
        <v>37</v>
      </c>
    </row>
    <row r="13" spans="1:54" x14ac:dyDescent="0.25">
      <c r="A13" t="s">
        <v>40</v>
      </c>
      <c r="B13" s="4">
        <v>1</v>
      </c>
      <c r="C13" s="4" t="s">
        <v>20</v>
      </c>
      <c r="D13" t="s">
        <v>40</v>
      </c>
      <c r="G13" t="s">
        <v>319</v>
      </c>
      <c r="H13" t="s">
        <v>661</v>
      </c>
      <c r="I13">
        <v>1</v>
      </c>
      <c r="J13" t="s">
        <v>25</v>
      </c>
      <c r="K13" s="2" t="s">
        <v>358</v>
      </c>
      <c r="L13" s="2"/>
      <c r="M13" t="s">
        <v>39</v>
      </c>
      <c r="N13" t="s">
        <v>322</v>
      </c>
      <c r="O13" t="s">
        <v>35</v>
      </c>
      <c r="V13" t="str">
        <f>IF(NOT(ISBLANK(T13)), IF(T13&gt;=AVERAGE($T$2:$T$124), 1, 0), IF(NOT(ISBLANK(U13)), IF(U13&gt;=AVERAGE($U$2:$U$124), 1, 0), "geen data"))</f>
        <v>geen data</v>
      </c>
      <c r="W13">
        <v>0.2</v>
      </c>
      <c r="X13" s="4">
        <f>IF(ISBLANK(W13), "geen data", IF(W13&lt;=AVERAGE($W$2:$W$124), 1, 0))</f>
        <v>1</v>
      </c>
      <c r="Y13">
        <v>7.4999999999999997E-2</v>
      </c>
      <c r="Z13" s="4">
        <f>IF(ISBLANK(Y13), "geen data", IF(Y13&lt;=AVERAGE($Y$2:$Y$124), 1, 0))</f>
        <v>1</v>
      </c>
      <c r="AA13">
        <v>2006</v>
      </c>
      <c r="AB13">
        <v>2015</v>
      </c>
      <c r="AD13" s="10" t="s">
        <v>360</v>
      </c>
      <c r="AE13" s="10" t="s">
        <v>41</v>
      </c>
      <c r="AF13" s="4" t="s">
        <v>37</v>
      </c>
    </row>
    <row r="14" spans="1:54" x14ac:dyDescent="0.25">
      <c r="A14" t="s">
        <v>40</v>
      </c>
      <c r="B14" s="4">
        <v>1</v>
      </c>
      <c r="C14" s="4" t="s">
        <v>20</v>
      </c>
      <c r="D14" t="s">
        <v>40</v>
      </c>
      <c r="G14" t="s">
        <v>319</v>
      </c>
      <c r="H14" t="s">
        <v>661</v>
      </c>
      <c r="I14">
        <v>2</v>
      </c>
      <c r="J14" t="s">
        <v>25</v>
      </c>
      <c r="K14" s="2" t="s">
        <v>359</v>
      </c>
      <c r="L14" s="2"/>
      <c r="M14" t="s">
        <v>39</v>
      </c>
      <c r="N14" t="s">
        <v>322</v>
      </c>
      <c r="O14" t="s">
        <v>35</v>
      </c>
      <c r="V14" t="str">
        <f>IF(NOT(ISBLANK(T14)), IF(T14&gt;=AVERAGE($T$2:$T$124), 1, 0), IF(NOT(ISBLANK(U14)), IF(U14&gt;=AVERAGE($U$2:$U$124), 1, 0), "geen data"))</f>
        <v>geen data</v>
      </c>
      <c r="W14">
        <v>0.2</v>
      </c>
      <c r="X14" s="4">
        <f>IF(ISBLANK(W14), "geen data", IF(W14&lt;=AVERAGE($W$2:$W$124), 1, 0))</f>
        <v>1</v>
      </c>
      <c r="Y14">
        <v>7.4999999999999997E-2</v>
      </c>
      <c r="Z14" s="4">
        <f>IF(ISBLANK(Y14), "geen data", IF(Y14&lt;=AVERAGE($Y$2:$Y$124), 1, 0))</f>
        <v>1</v>
      </c>
      <c r="AA14">
        <v>2022</v>
      </c>
      <c r="AB14">
        <v>2023</v>
      </c>
      <c r="AD14" t="s">
        <v>360</v>
      </c>
      <c r="AE14" s="10" t="s">
        <v>41</v>
      </c>
      <c r="AF14" s="4" t="s">
        <v>37</v>
      </c>
    </row>
    <row r="15" spans="1:54" x14ac:dyDescent="0.25">
      <c r="A15" t="s">
        <v>42</v>
      </c>
      <c r="B15" s="4">
        <v>1</v>
      </c>
      <c r="C15" s="4" t="s">
        <v>20</v>
      </c>
      <c r="D15" t="s">
        <v>42</v>
      </c>
      <c r="E15" t="s">
        <v>363</v>
      </c>
      <c r="G15" t="s">
        <v>319</v>
      </c>
      <c r="H15" t="s">
        <v>661</v>
      </c>
      <c r="I15" s="4">
        <v>1</v>
      </c>
      <c r="J15" t="s">
        <v>25</v>
      </c>
      <c r="K15" s="2" t="s">
        <v>21</v>
      </c>
      <c r="L15" s="2"/>
      <c r="M15" t="s">
        <v>39</v>
      </c>
      <c r="N15" t="s">
        <v>322</v>
      </c>
      <c r="O15" t="s">
        <v>35</v>
      </c>
      <c r="P15">
        <v>1</v>
      </c>
      <c r="Q15">
        <v>1</v>
      </c>
      <c r="R15">
        <v>1</v>
      </c>
      <c r="S15">
        <v>1</v>
      </c>
      <c r="T15">
        <v>4</v>
      </c>
      <c r="U15">
        <v>16</v>
      </c>
      <c r="V15">
        <f>IF(NOT(ISBLANK(T15)), IF(T15&gt;=AVERAGE($T$2:$T$124), 1, 0), IF(NOT(ISBLANK(U15)), IF(U15&gt;=AVERAGE($U$2:$U$124), 1, 0), "geen data"))</f>
        <v>0</v>
      </c>
      <c r="X15" s="4" t="str">
        <f>IF(ISBLANK(W15), "geen data", IF(W15&lt;=AVERAGE($W$2:$W$124), 1, 0))</f>
        <v>geen data</v>
      </c>
      <c r="Z15" s="4" t="str">
        <f>IF(ISBLANK(Y15), "geen data", IF(Y15&lt;=AVERAGE($Y$2:$Y$124), 1, 0))</f>
        <v>geen data</v>
      </c>
      <c r="AA15">
        <v>2016</v>
      </c>
      <c r="AB15">
        <v>2021</v>
      </c>
      <c r="AD15" t="s">
        <v>361</v>
      </c>
      <c r="AE15" s="10" t="s">
        <v>362</v>
      </c>
      <c r="AF15" t="s">
        <v>37</v>
      </c>
    </row>
    <row r="16" spans="1:54" s="4" customFormat="1" x14ac:dyDescent="0.25">
      <c r="A16" s="4" t="s">
        <v>43</v>
      </c>
      <c r="B16" s="4">
        <v>1</v>
      </c>
      <c r="C16" s="4" t="s">
        <v>20</v>
      </c>
      <c r="D16" s="4" t="s">
        <v>43</v>
      </c>
      <c r="K16" s="2" t="s">
        <v>21</v>
      </c>
      <c r="L16" s="2"/>
      <c r="V16" t="str">
        <f>IF(NOT(ISBLANK(T16)), IF(T16&gt;=AVERAGE($T$2:$T$124), 1, 0), IF(NOT(ISBLANK(U16)), IF(U16&gt;=AVERAGE($U$2:$U$124), 1, 0), "geen data"))</f>
        <v>geen data</v>
      </c>
      <c r="X16" s="4" t="str">
        <f>IF(ISBLANK(W16), "geen data", IF(W16&lt;=AVERAGE($W$2:$W$124), 1, 0))</f>
        <v>geen data</v>
      </c>
      <c r="Z16" s="4" t="str">
        <f>IF(ISBLANK(Y16), "geen data", IF(Y16&lt;=AVERAGE($Y$2:$Y$124), 1, 0))</f>
        <v>geen data</v>
      </c>
      <c r="AE16" s="11"/>
      <c r="AF16" s="4" t="s">
        <v>18</v>
      </c>
      <c r="AI16" s="22"/>
      <c r="AJ16" s="22"/>
      <c r="AK16" s="22"/>
      <c r="AL16" s="22"/>
      <c r="AM16" s="22"/>
      <c r="AN16" s="22"/>
      <c r="AO16" s="22"/>
      <c r="AP16" s="22"/>
      <c r="AQ16" s="22"/>
      <c r="AR16" s="22"/>
      <c r="AS16" s="22"/>
      <c r="AT16" s="22"/>
      <c r="AU16" s="22"/>
      <c r="AV16" s="22"/>
      <c r="AW16" s="22"/>
      <c r="AX16" s="22"/>
      <c r="AY16" s="22"/>
      <c r="AZ16" s="22"/>
      <c r="BA16" s="22"/>
    </row>
    <row r="17" spans="1:53" x14ac:dyDescent="0.25">
      <c r="A17" t="s">
        <v>44</v>
      </c>
      <c r="B17" s="4">
        <v>1</v>
      </c>
      <c r="C17" s="4" t="s">
        <v>20</v>
      </c>
      <c r="D17" t="s">
        <v>44</v>
      </c>
      <c r="H17" t="s">
        <v>661</v>
      </c>
      <c r="I17" s="4">
        <v>1</v>
      </c>
      <c r="J17" t="s">
        <v>25</v>
      </c>
      <c r="K17" s="2" t="s">
        <v>21</v>
      </c>
      <c r="L17" s="2"/>
      <c r="M17" t="s">
        <v>39</v>
      </c>
      <c r="O17" t="s">
        <v>35</v>
      </c>
      <c r="V17" t="str">
        <f>IF(NOT(ISBLANK(T17)), IF(T17&gt;=AVERAGE($T$2:$T$124), 1, 0), IF(NOT(ISBLANK(U17)), IF(U17&gt;=AVERAGE($U$2:$U$124), 1, 0), "geen data"))</f>
        <v>geen data</v>
      </c>
      <c r="W17">
        <v>0.15</v>
      </c>
      <c r="X17" s="4">
        <f>IF(ISBLANK(W17), "geen data", IF(W17&lt;=AVERAGE($W$2:$W$124), 1, 0))</f>
        <v>1</v>
      </c>
      <c r="Y17">
        <v>7.4999999999999997E-2</v>
      </c>
      <c r="Z17" s="4">
        <f>IF(ISBLANK(Y17), "geen data", IF(Y17&lt;=AVERAGE($Y$2:$Y$124), 1, 0))</f>
        <v>1</v>
      </c>
      <c r="AB17">
        <v>2019</v>
      </c>
      <c r="AE17" s="10" t="s">
        <v>45</v>
      </c>
      <c r="AF17" t="s">
        <v>37</v>
      </c>
    </row>
    <row r="18" spans="1:53" s="4" customFormat="1" x14ac:dyDescent="0.25">
      <c r="A18" s="4" t="s">
        <v>46</v>
      </c>
      <c r="B18" s="4">
        <v>0</v>
      </c>
      <c r="C18" s="4" t="s">
        <v>46</v>
      </c>
      <c r="D18" s="4" t="s">
        <v>46</v>
      </c>
      <c r="V18" t="str">
        <f>IF(NOT(ISBLANK(T18)), IF(T18&gt;=AVERAGE($T$2:$T$124), 1, 0), IF(NOT(ISBLANK(U18)), IF(U18&gt;=AVERAGE($U$2:$U$124), 1, 0), "geen data"))</f>
        <v>geen data</v>
      </c>
      <c r="X18" s="4" t="str">
        <f>IF(ISBLANK(W18), "geen data", IF(W18&lt;=AVERAGE($W$2:$W$124), 1, 0))</f>
        <v>geen data</v>
      </c>
      <c r="Z18" s="4" t="str">
        <f>IF(ISBLANK(Y18), "geen data", IF(Y18&lt;=AVERAGE($Y$2:$Y$124), 1, 0))</f>
        <v>geen data</v>
      </c>
      <c r="AF18" s="4" t="s">
        <v>18</v>
      </c>
      <c r="AI18" s="22"/>
      <c r="AJ18" s="22"/>
      <c r="AK18" s="22"/>
      <c r="AL18" s="22"/>
      <c r="AM18" s="22"/>
      <c r="AN18" s="22"/>
      <c r="AO18" s="22"/>
      <c r="AP18" s="22"/>
      <c r="AQ18" s="22"/>
      <c r="AR18" s="22"/>
      <c r="AS18" s="22"/>
      <c r="AT18" s="22"/>
      <c r="AU18" s="22"/>
      <c r="AV18" s="22"/>
      <c r="AW18" s="22"/>
      <c r="AX18" s="22"/>
      <c r="AY18" s="22"/>
      <c r="AZ18" s="22"/>
      <c r="BA18" s="22"/>
    </row>
    <row r="19" spans="1:53" x14ac:dyDescent="0.25">
      <c r="A19" t="s">
        <v>47</v>
      </c>
      <c r="B19" s="4">
        <v>0</v>
      </c>
      <c r="C19" t="s">
        <v>47</v>
      </c>
      <c r="D19" t="s">
        <v>47</v>
      </c>
      <c r="I19">
        <v>0</v>
      </c>
      <c r="K19" s="2"/>
      <c r="L19" s="2"/>
      <c r="M19" t="s">
        <v>22</v>
      </c>
      <c r="V19" t="str">
        <f>IF(NOT(ISBLANK(T19)), IF(T19&gt;=AVERAGE($T$2:$T$124), 1, 0), IF(NOT(ISBLANK(U19)), IF(U19&gt;=AVERAGE($U$2:$U$124), 1, 0), "geen data"))</f>
        <v>geen data</v>
      </c>
      <c r="AF19" t="s">
        <v>48</v>
      </c>
    </row>
    <row r="20" spans="1:53" ht="14.25" customHeight="1" x14ac:dyDescent="0.25">
      <c r="A20" s="4" t="s">
        <v>49</v>
      </c>
      <c r="B20" s="4">
        <v>1</v>
      </c>
      <c r="C20" t="s">
        <v>47</v>
      </c>
      <c r="D20" s="4" t="s">
        <v>49</v>
      </c>
      <c r="E20" t="s">
        <v>366</v>
      </c>
      <c r="G20" t="s">
        <v>328</v>
      </c>
      <c r="H20" t="s">
        <v>661</v>
      </c>
      <c r="I20" s="4">
        <v>1</v>
      </c>
      <c r="J20" t="s">
        <v>25</v>
      </c>
      <c r="K20" s="2" t="s">
        <v>50</v>
      </c>
      <c r="L20" s="2"/>
      <c r="M20" t="s">
        <v>26</v>
      </c>
      <c r="O20" t="s">
        <v>35</v>
      </c>
      <c r="U20">
        <v>67</v>
      </c>
      <c r="V20">
        <f>IF(NOT(ISBLANK(T20)), IF(T20&gt;=AVERAGE($T$2:$T$124), 1, 0), IF(NOT(ISBLANK(U20)), IF(U20&gt;=AVERAGE($U$2:$U$124), 1, 0), "geen data"))</f>
        <v>1</v>
      </c>
      <c r="AB20">
        <v>2021</v>
      </c>
      <c r="AD20" t="s">
        <v>51</v>
      </c>
      <c r="AE20" s="6" t="s">
        <v>51</v>
      </c>
      <c r="AF20" s="13" t="s">
        <v>52</v>
      </c>
      <c r="AG20">
        <v>0</v>
      </c>
    </row>
    <row r="21" spans="1:53" x14ac:dyDescent="0.25">
      <c r="A21" t="s">
        <v>53</v>
      </c>
      <c r="B21" s="4">
        <v>1</v>
      </c>
      <c r="C21" t="s">
        <v>47</v>
      </c>
      <c r="D21" t="s">
        <v>53</v>
      </c>
      <c r="F21" t="s">
        <v>740</v>
      </c>
      <c r="G21" s="6" t="s">
        <v>327</v>
      </c>
      <c r="H21" t="s">
        <v>661</v>
      </c>
      <c r="I21">
        <v>1</v>
      </c>
      <c r="J21" t="s">
        <v>25</v>
      </c>
      <c r="K21" s="2" t="s">
        <v>50</v>
      </c>
      <c r="L21" s="2"/>
      <c r="M21" t="s">
        <v>342</v>
      </c>
      <c r="N21" t="s">
        <v>322</v>
      </c>
      <c r="O21" t="s">
        <v>35</v>
      </c>
      <c r="P21">
        <v>1</v>
      </c>
      <c r="Q21">
        <v>1</v>
      </c>
      <c r="S21">
        <v>5</v>
      </c>
      <c r="T21">
        <v>0.25</v>
      </c>
      <c r="V21">
        <f>IF(NOT(ISBLANK(T21)), IF(T21&gt;=AVERAGE($T$2:$T$124), 1, 0), IF(NOT(ISBLANK(U21)), IF(U21&gt;=AVERAGE($U$2:$U$124), 1, 0), "geen data"))</f>
        <v>0</v>
      </c>
      <c r="W21">
        <v>0.1</v>
      </c>
      <c r="X21" s="4">
        <f>IF(ISBLANK(W21), "geen data", IF(W21&lt;=AVERAGE($W$2:$W$124), 1, 0))</f>
        <v>1</v>
      </c>
      <c r="Y21">
        <v>0.05</v>
      </c>
      <c r="Z21" s="4">
        <f>IF(ISBLANK(Y21), "geen data", IF(Y21&lt;=AVERAGE($Y$2:$Y$124), 1, 0))</f>
        <v>1</v>
      </c>
      <c r="AA21">
        <v>2001</v>
      </c>
      <c r="AB21">
        <v>2004</v>
      </c>
      <c r="AD21" s="6" t="s">
        <v>369</v>
      </c>
      <c r="AE21" t="s">
        <v>371</v>
      </c>
      <c r="AF21" s="2" t="s">
        <v>54</v>
      </c>
      <c r="AG21" s="2">
        <v>1</v>
      </c>
      <c r="AH21" s="2"/>
      <c r="AI21" t="s">
        <v>370</v>
      </c>
      <c r="AJ21" t="s">
        <v>279</v>
      </c>
      <c r="AN21" s="27"/>
      <c r="AQ21" t="s">
        <v>274</v>
      </c>
    </row>
    <row r="22" spans="1:53" x14ac:dyDescent="0.25">
      <c r="A22" t="s">
        <v>53</v>
      </c>
      <c r="B22" s="4">
        <v>1</v>
      </c>
      <c r="C22" t="s">
        <v>47</v>
      </c>
      <c r="D22" t="s">
        <v>53</v>
      </c>
      <c r="F22" t="s">
        <v>741</v>
      </c>
      <c r="G22" s="6" t="s">
        <v>327</v>
      </c>
      <c r="H22" t="s">
        <v>661</v>
      </c>
      <c r="I22">
        <v>0</v>
      </c>
      <c r="J22" t="s">
        <v>25</v>
      </c>
      <c r="K22" s="2" t="s">
        <v>50</v>
      </c>
      <c r="L22" s="2"/>
      <c r="M22" t="s">
        <v>342</v>
      </c>
      <c r="N22" t="s">
        <v>322</v>
      </c>
      <c r="O22" t="s">
        <v>35</v>
      </c>
      <c r="P22">
        <v>1</v>
      </c>
      <c r="Q22">
        <v>1</v>
      </c>
      <c r="S22">
        <v>5</v>
      </c>
      <c r="T22">
        <v>16</v>
      </c>
      <c r="V22">
        <f>IF(NOT(ISBLANK(T22)), IF(T22&gt;=AVERAGE($T$2:$T$124), 1, 0), IF(NOT(ISBLANK(U22)), IF(U22&gt;=AVERAGE($U$2:$U$124), 1, 0), "geen data"))</f>
        <v>1</v>
      </c>
      <c r="W22">
        <v>0.1</v>
      </c>
      <c r="X22" s="4">
        <f>IF(ISBLANK(W22), "geen data", IF(W22&lt;=AVERAGE($W$2:$W$124), 1, 0))</f>
        <v>1</v>
      </c>
      <c r="Y22">
        <v>0.05</v>
      </c>
      <c r="Z22" s="4">
        <f>IF(ISBLANK(Y22), "geen data", IF(Y22&lt;=AVERAGE($Y$2:$Y$124), 1, 0))</f>
        <v>1</v>
      </c>
      <c r="AA22">
        <v>2013</v>
      </c>
      <c r="AB22">
        <v>2015</v>
      </c>
      <c r="AD22" t="s">
        <v>372</v>
      </c>
      <c r="AE22" t="s">
        <v>371</v>
      </c>
      <c r="AF22" s="2" t="s">
        <v>54</v>
      </c>
      <c r="AG22" s="2">
        <v>1</v>
      </c>
      <c r="AH22" s="2"/>
      <c r="AI22" t="s">
        <v>273</v>
      </c>
      <c r="AJ22" t="s">
        <v>279</v>
      </c>
      <c r="AQ22" t="s">
        <v>274</v>
      </c>
    </row>
    <row r="23" spans="1:53" x14ac:dyDescent="0.25">
      <c r="A23" t="s">
        <v>55</v>
      </c>
      <c r="B23" s="4">
        <v>1</v>
      </c>
      <c r="C23" t="s">
        <v>47</v>
      </c>
      <c r="D23" t="s">
        <v>55</v>
      </c>
      <c r="F23" t="s">
        <v>619</v>
      </c>
      <c r="G23" t="s">
        <v>328</v>
      </c>
      <c r="H23" t="s">
        <v>661</v>
      </c>
      <c r="I23">
        <v>1</v>
      </c>
      <c r="J23" t="s">
        <v>25</v>
      </c>
      <c r="K23" s="2" t="s">
        <v>50</v>
      </c>
      <c r="L23" s="2"/>
      <c r="M23" t="s">
        <v>26</v>
      </c>
      <c r="O23" t="s">
        <v>35</v>
      </c>
      <c r="T23">
        <v>6.8</v>
      </c>
      <c r="V23">
        <f>IF(NOT(ISBLANK(T23)), IF(T23&gt;=AVERAGE($T$2:$T$124), 1, 0), IF(NOT(ISBLANK(U23)), IF(U23&gt;=AVERAGE($U$2:$U$124), 1, 0), "geen data"))</f>
        <v>0</v>
      </c>
      <c r="W23">
        <v>1</v>
      </c>
      <c r="X23" s="4">
        <f>IF(ISBLANK(W23), "geen data", IF(W23&lt;=AVERAGE($W$2:$W$124), 1, 0))</f>
        <v>0</v>
      </c>
      <c r="Y23">
        <v>0.4</v>
      </c>
      <c r="Z23" s="4">
        <f>IF(ISBLANK(Y23), "geen data", IF(Y23&lt;=AVERAGE($Y$2:$Y$124), 1, 0))</f>
        <v>0</v>
      </c>
      <c r="AB23">
        <v>2022</v>
      </c>
      <c r="AD23" t="s">
        <v>329</v>
      </c>
      <c r="AE23" s="6" t="s">
        <v>330</v>
      </c>
      <c r="AF23" s="2" t="s">
        <v>56</v>
      </c>
      <c r="AG23" s="2"/>
      <c r="AH23" s="2"/>
      <c r="AI23" t="s">
        <v>331</v>
      </c>
      <c r="AJ23" t="s">
        <v>332</v>
      </c>
      <c r="AK23" t="s">
        <v>276</v>
      </c>
      <c r="AL23" t="s">
        <v>333</v>
      </c>
      <c r="AN23" s="27"/>
      <c r="AQ23" t="s">
        <v>334</v>
      </c>
      <c r="AR23" t="s">
        <v>335</v>
      </c>
      <c r="AV23" t="s">
        <v>336</v>
      </c>
      <c r="AX23" t="s">
        <v>277</v>
      </c>
    </row>
    <row r="24" spans="1:53" s="4" customFormat="1" x14ac:dyDescent="0.25">
      <c r="A24" s="4" t="s">
        <v>57</v>
      </c>
      <c r="B24" s="4">
        <v>0</v>
      </c>
      <c r="C24" s="4" t="s">
        <v>57</v>
      </c>
      <c r="D24" s="4" t="s">
        <v>57</v>
      </c>
      <c r="V24" t="str">
        <f>IF(NOT(ISBLANK(T24)), IF(T24&gt;=AVERAGE($T$2:$T$124), 1, 0), IF(NOT(ISBLANK(U24)), IF(U24&gt;=AVERAGE($U$2:$U$124), 1, 0), "geen data"))</f>
        <v>geen data</v>
      </c>
      <c r="X24" s="4" t="str">
        <f>IF(ISBLANK(W24), "geen data", IF(W24&lt;=AVERAGE($W$2:$W$124), 1, 0))</f>
        <v>geen data</v>
      </c>
      <c r="Z24" s="4" t="str">
        <f>IF(ISBLANK(Y24), "geen data", IF(Y24&lt;=AVERAGE($Y$2:$Y$124), 1, 0))</f>
        <v>geen data</v>
      </c>
      <c r="AF24" s="4" t="s">
        <v>18</v>
      </c>
      <c r="AI24" s="22"/>
      <c r="AJ24" s="22"/>
      <c r="AK24" s="22"/>
      <c r="AL24" s="22"/>
      <c r="AM24" s="22"/>
      <c r="AN24" s="22"/>
      <c r="AO24" s="22"/>
      <c r="AP24" s="22"/>
      <c r="AQ24" s="22"/>
      <c r="AR24" s="22"/>
      <c r="AS24" s="22"/>
      <c r="AT24" s="22"/>
      <c r="AU24" s="22"/>
      <c r="AV24" s="22"/>
      <c r="AW24" s="22"/>
      <c r="AX24" s="22"/>
      <c r="AY24" s="22"/>
      <c r="AZ24" s="22"/>
      <c r="BA24" s="22"/>
    </row>
    <row r="25" spans="1:53" s="4" customFormat="1" x14ac:dyDescent="0.25">
      <c r="A25" s="4" t="s">
        <v>58</v>
      </c>
      <c r="B25" s="4">
        <v>0</v>
      </c>
      <c r="C25" s="4" t="s">
        <v>58</v>
      </c>
      <c r="D25" s="4" t="s">
        <v>58</v>
      </c>
      <c r="V25" t="str">
        <f>IF(NOT(ISBLANK(T25)), IF(T25&gt;=AVERAGE($T$2:$T$124), 1, 0), IF(NOT(ISBLANK(U25)), IF(U25&gt;=AVERAGE($U$2:$U$124), 1, 0), "geen data"))</f>
        <v>geen data</v>
      </c>
      <c r="X25" s="4" t="str">
        <f>IF(ISBLANK(W25), "geen data", IF(W25&lt;=AVERAGE($W$2:$W$124), 1, 0))</f>
        <v>geen data</v>
      </c>
      <c r="Z25" s="4" t="str">
        <f>IF(ISBLANK(Y25), "geen data", IF(Y25&lt;=AVERAGE($Y$2:$Y$124), 1, 0))</f>
        <v>geen data</v>
      </c>
      <c r="AF25" s="4" t="s">
        <v>18</v>
      </c>
      <c r="AI25" s="22"/>
      <c r="AJ25" s="22"/>
      <c r="AK25" s="22"/>
      <c r="AL25" s="22"/>
      <c r="AM25" s="22"/>
      <c r="AN25" s="22"/>
      <c r="AO25" s="22"/>
      <c r="AP25" s="22"/>
      <c r="AQ25" s="22"/>
      <c r="AR25" s="22"/>
      <c r="AS25" s="22"/>
      <c r="AT25" s="22"/>
      <c r="AU25" s="22"/>
      <c r="AV25" s="22"/>
      <c r="AW25" s="22"/>
      <c r="AX25" s="22"/>
      <c r="AY25" s="22"/>
      <c r="AZ25" s="22"/>
      <c r="BA25" s="22"/>
    </row>
    <row r="26" spans="1:53" x14ac:dyDescent="0.25">
      <c r="A26" t="s">
        <v>59</v>
      </c>
      <c r="B26" s="4">
        <v>0</v>
      </c>
      <c r="C26" t="s">
        <v>59</v>
      </c>
      <c r="D26" t="s">
        <v>59</v>
      </c>
      <c r="E26" t="s">
        <v>621</v>
      </c>
      <c r="F26" t="s">
        <v>620</v>
      </c>
      <c r="H26" t="s">
        <v>8</v>
      </c>
      <c r="I26">
        <v>1</v>
      </c>
      <c r="J26" t="s">
        <v>3</v>
      </c>
      <c r="M26" t="s">
        <v>26</v>
      </c>
      <c r="O26" t="s">
        <v>35</v>
      </c>
      <c r="T26">
        <v>10</v>
      </c>
      <c r="V26">
        <f>IF(NOT(ISBLANK(T26)), IF(T26&gt;=AVERAGE($T$2:$T$124), 1, 0), IF(NOT(ISBLANK(U26)), IF(U26&gt;=AVERAGE($U$2:$U$124), 1, 0), "geen data"))</f>
        <v>1</v>
      </c>
      <c r="W26">
        <v>0.2</v>
      </c>
      <c r="X26" s="4">
        <f>IF(ISBLANK(W26), "geen data", IF(W26&lt;=AVERAGE($W$2:$W$124), 1, 0))</f>
        <v>1</v>
      </c>
      <c r="Y26">
        <v>0.1</v>
      </c>
      <c r="Z26" s="4">
        <f>IF(ISBLANK(Y26), "geen data", IF(Y26&lt;=AVERAGE($Y$2:$Y$124), 1, 0))</f>
        <v>1</v>
      </c>
      <c r="AB26" t="s">
        <v>60</v>
      </c>
      <c r="AF26" s="2" t="s">
        <v>62</v>
      </c>
    </row>
    <row r="27" spans="1:53" s="4" customFormat="1" x14ac:dyDescent="0.25">
      <c r="A27" s="4" t="s">
        <v>63</v>
      </c>
      <c r="B27" s="4">
        <v>0</v>
      </c>
      <c r="C27" s="4" t="s">
        <v>63</v>
      </c>
      <c r="D27" s="4" t="s">
        <v>63</v>
      </c>
      <c r="V27" t="str">
        <f>IF(NOT(ISBLANK(T27)), IF(T27&gt;=AVERAGE($T$2:$T$124), 1, 0), IF(NOT(ISBLANK(U27)), IF(U27&gt;=AVERAGE($U$2:$U$124), 1, 0), "geen data"))</f>
        <v>geen data</v>
      </c>
      <c r="X27" s="4" t="str">
        <f>IF(ISBLANK(W27), "geen data", IF(W27&lt;=AVERAGE($W$2:$W$124), 1, 0))</f>
        <v>geen data</v>
      </c>
      <c r="Z27" s="4" t="str">
        <f>IF(ISBLANK(Y27), "geen data", IF(Y27&lt;=AVERAGE($Y$2:$Y$124), 1, 0))</f>
        <v>geen data</v>
      </c>
      <c r="AF27" s="4" t="s">
        <v>18</v>
      </c>
      <c r="AI27" s="22"/>
      <c r="AJ27" s="22"/>
      <c r="AK27" s="22"/>
      <c r="AL27" s="22"/>
      <c r="AM27" s="22"/>
      <c r="AN27" s="22"/>
      <c r="AO27" s="22"/>
      <c r="AP27" s="22"/>
      <c r="AQ27" s="22"/>
      <c r="AR27" s="22"/>
      <c r="AS27" s="22"/>
      <c r="AT27" s="22"/>
      <c r="AU27" s="22"/>
      <c r="AV27" s="22"/>
      <c r="AW27" s="22"/>
      <c r="AX27" s="22"/>
      <c r="AY27" s="22"/>
      <c r="AZ27" s="22"/>
      <c r="BA27" s="22"/>
    </row>
    <row r="28" spans="1:53" ht="21" customHeight="1" x14ac:dyDescent="0.25">
      <c r="A28" t="s">
        <v>64</v>
      </c>
      <c r="B28" s="4">
        <v>0</v>
      </c>
      <c r="C28" t="s">
        <v>64</v>
      </c>
      <c r="D28" t="s">
        <v>64</v>
      </c>
      <c r="F28" t="s">
        <v>622</v>
      </c>
      <c r="G28" t="s">
        <v>319</v>
      </c>
      <c r="H28" t="s">
        <v>8</v>
      </c>
      <c r="I28">
        <v>1</v>
      </c>
      <c r="J28" t="s">
        <v>25</v>
      </c>
      <c r="K28" t="s">
        <v>65</v>
      </c>
      <c r="M28" t="s">
        <v>39</v>
      </c>
      <c r="O28" t="s">
        <v>35</v>
      </c>
      <c r="V28" t="str">
        <f>IF(NOT(ISBLANK(T28)), IF(T28&gt;=AVERAGE($T$2:$T$124), 1, 0), IF(NOT(ISBLANK(U28)), IF(U28&gt;=AVERAGE($U$2:$U$124), 1, 0), "geen data"))</f>
        <v>geen data</v>
      </c>
      <c r="X28" s="4" t="str">
        <f>IF(ISBLANK(W28), "geen data", IF(W28&lt;=AVERAGE($W$2:$W$124), 1, 0))</f>
        <v>geen data</v>
      </c>
      <c r="Y28">
        <v>0.3</v>
      </c>
      <c r="Z28" s="4">
        <f>IF(ISBLANK(Y28), "geen data", IF(Y28&lt;=AVERAGE($Y$2:$Y$124), 1, 0))</f>
        <v>0</v>
      </c>
      <c r="AB28">
        <v>2013</v>
      </c>
      <c r="AE28" t="s">
        <v>66</v>
      </c>
      <c r="AF28" s="13" t="s">
        <v>67</v>
      </c>
    </row>
    <row r="29" spans="1:53" ht="21" customHeight="1" x14ac:dyDescent="0.25">
      <c r="A29" t="s">
        <v>64</v>
      </c>
      <c r="B29" s="4">
        <v>0</v>
      </c>
      <c r="C29" t="s">
        <v>64</v>
      </c>
      <c r="D29" t="s">
        <v>64</v>
      </c>
      <c r="F29" t="s">
        <v>623</v>
      </c>
      <c r="G29" t="s">
        <v>319</v>
      </c>
      <c r="H29" t="s">
        <v>8</v>
      </c>
      <c r="I29">
        <v>2</v>
      </c>
      <c r="J29" t="s">
        <v>25</v>
      </c>
      <c r="K29" t="s">
        <v>65</v>
      </c>
      <c r="M29" t="s">
        <v>39</v>
      </c>
      <c r="O29" t="s">
        <v>35</v>
      </c>
      <c r="V29" t="str">
        <f>IF(NOT(ISBLANK(T29)), IF(T29&gt;=AVERAGE($T$2:$T$124), 1, 0), IF(NOT(ISBLANK(U29)), IF(U29&gt;=AVERAGE($U$2:$U$124), 1, 0), "geen data"))</f>
        <v>geen data</v>
      </c>
      <c r="X29" s="4" t="str">
        <f>IF(ISBLANK(W29), "geen data", IF(W29&lt;=AVERAGE($W$2:$W$124), 1, 0))</f>
        <v>geen data</v>
      </c>
      <c r="Y29">
        <v>0.3</v>
      </c>
      <c r="Z29" s="4">
        <f>IF(ISBLANK(Y29), "geen data", IF(Y29&lt;=AVERAGE($Y$2:$Y$124), 1, 0))</f>
        <v>0</v>
      </c>
      <c r="AB29">
        <v>2013</v>
      </c>
      <c r="AE29" t="s">
        <v>66</v>
      </c>
      <c r="AF29" s="13" t="s">
        <v>67</v>
      </c>
    </row>
    <row r="30" spans="1:53" ht="19.5" customHeight="1" x14ac:dyDescent="0.25">
      <c r="A30" t="s">
        <v>68</v>
      </c>
      <c r="B30" s="4">
        <v>0</v>
      </c>
      <c r="C30" t="s">
        <v>68</v>
      </c>
      <c r="D30" t="s">
        <v>68</v>
      </c>
      <c r="F30" t="s">
        <v>624</v>
      </c>
      <c r="G30" t="s">
        <v>319</v>
      </c>
      <c r="H30" t="s">
        <v>8</v>
      </c>
      <c r="I30">
        <v>1</v>
      </c>
      <c r="J30" t="s">
        <v>3</v>
      </c>
      <c r="K30" t="s">
        <v>69</v>
      </c>
      <c r="L30" t="s">
        <v>70</v>
      </c>
      <c r="M30" t="s">
        <v>26</v>
      </c>
      <c r="O30" t="s">
        <v>35</v>
      </c>
      <c r="T30">
        <v>8</v>
      </c>
      <c r="V30">
        <f>IF(NOT(ISBLANK(T30)), IF(T30&gt;=AVERAGE($T$2:$T$124), 1, 0), IF(NOT(ISBLANK(U30)), IF(U30&gt;=AVERAGE($U$2:$U$124), 1, 0), "geen data"))</f>
        <v>1</v>
      </c>
      <c r="W30">
        <v>0.15</v>
      </c>
      <c r="X30" s="4">
        <f>IF(ISBLANK(W30), "geen data", IF(W30&lt;=AVERAGE($W$2:$W$124), 1, 0))</f>
        <v>1</v>
      </c>
      <c r="Y30">
        <v>0.06</v>
      </c>
      <c r="Z30" s="4">
        <f>IF(ISBLANK(Y30), "geen data", IF(Y30&lt;=AVERAGE($Y$2:$Y$124), 1, 0))</f>
        <v>1</v>
      </c>
      <c r="AB30">
        <v>2022</v>
      </c>
      <c r="AE30" s="10" t="s">
        <v>71</v>
      </c>
      <c r="AF30" s="13" t="s">
        <v>72</v>
      </c>
      <c r="AG30" s="2"/>
      <c r="AH30" s="2"/>
      <c r="AI30" s="27" t="s">
        <v>278</v>
      </c>
      <c r="AJ30" s="27" t="s">
        <v>279</v>
      </c>
      <c r="AK30" s="27" t="s">
        <v>553</v>
      </c>
      <c r="AL30" s="27" t="s">
        <v>554</v>
      </c>
      <c r="AM30" t="s">
        <v>555</v>
      </c>
      <c r="AN30" s="27"/>
      <c r="AO30" t="s">
        <v>280</v>
      </c>
      <c r="AP30" t="s">
        <v>278</v>
      </c>
      <c r="AQ30" t="s">
        <v>274</v>
      </c>
      <c r="AV30" s="27"/>
      <c r="AW30" s="27"/>
      <c r="AX30" t="s">
        <v>281</v>
      </c>
      <c r="BA30" t="s">
        <v>556</v>
      </c>
    </row>
    <row r="31" spans="1:53" ht="24.75" customHeight="1" x14ac:dyDescent="0.25">
      <c r="A31" t="s">
        <v>73</v>
      </c>
      <c r="B31" s="4">
        <v>0</v>
      </c>
      <c r="C31" t="s">
        <v>73</v>
      </c>
      <c r="D31" t="s">
        <v>73</v>
      </c>
      <c r="F31" t="s">
        <v>625</v>
      </c>
      <c r="H31" t="s">
        <v>8</v>
      </c>
      <c r="I31">
        <v>1</v>
      </c>
      <c r="J31" t="s">
        <v>25</v>
      </c>
      <c r="K31" t="s">
        <v>74</v>
      </c>
      <c r="L31" t="s">
        <v>75</v>
      </c>
      <c r="M31" t="s">
        <v>26</v>
      </c>
      <c r="O31" t="s">
        <v>35</v>
      </c>
      <c r="T31">
        <v>2.1</v>
      </c>
      <c r="U31">
        <v>18</v>
      </c>
      <c r="V31">
        <f>IF(NOT(ISBLANK(T31)), IF(T31&gt;=AVERAGE($T$2:$T$124), 1, 0), IF(NOT(ISBLANK(U31)), IF(U31&gt;=AVERAGE($U$2:$U$124), 1, 0), "geen data"))</f>
        <v>0</v>
      </c>
      <c r="W31">
        <v>0.08</v>
      </c>
      <c r="X31" s="4">
        <f>IF(ISBLANK(W31), "geen data", IF(W31&lt;=AVERAGE($W$2:$W$124), 1, 0))</f>
        <v>1</v>
      </c>
      <c r="Y31">
        <v>0.08</v>
      </c>
      <c r="Z31" s="4">
        <f>IF(ISBLANK(Y31), "geen data", IF(Y31&lt;=AVERAGE($Y$2:$Y$124), 1, 0))</f>
        <v>1</v>
      </c>
      <c r="AA31">
        <v>2008</v>
      </c>
      <c r="AB31">
        <v>2011</v>
      </c>
      <c r="AE31" s="7" t="s">
        <v>76</v>
      </c>
      <c r="AF31" s="13" t="s">
        <v>77</v>
      </c>
      <c r="AG31" s="2"/>
      <c r="AH31" s="2"/>
      <c r="AI31" t="s">
        <v>282</v>
      </c>
      <c r="AJ31" s="27" t="s">
        <v>557</v>
      </c>
      <c r="AK31" s="27"/>
      <c r="AM31" t="s">
        <v>558</v>
      </c>
      <c r="AO31" t="s">
        <v>283</v>
      </c>
      <c r="AP31" t="s">
        <v>559</v>
      </c>
      <c r="AQ31" t="s">
        <v>274</v>
      </c>
      <c r="AV31" s="27"/>
      <c r="AW31" s="27"/>
      <c r="AX31" t="s">
        <v>560</v>
      </c>
      <c r="BA31" t="s">
        <v>561</v>
      </c>
    </row>
    <row r="32" spans="1:53" ht="24.75" customHeight="1" x14ac:dyDescent="0.25">
      <c r="A32" t="s">
        <v>73</v>
      </c>
      <c r="B32" s="4">
        <v>0</v>
      </c>
      <c r="C32" t="s">
        <v>73</v>
      </c>
      <c r="D32" t="s">
        <v>73</v>
      </c>
      <c r="F32" t="s">
        <v>626</v>
      </c>
      <c r="H32" t="s">
        <v>8</v>
      </c>
      <c r="I32">
        <v>2</v>
      </c>
      <c r="J32" t="s">
        <v>25</v>
      </c>
      <c r="K32" t="s">
        <v>74</v>
      </c>
      <c r="L32" t="s">
        <v>75</v>
      </c>
      <c r="M32" t="s">
        <v>26</v>
      </c>
      <c r="O32" t="s">
        <v>35</v>
      </c>
      <c r="T32">
        <v>2.1</v>
      </c>
      <c r="U32">
        <v>18</v>
      </c>
      <c r="V32">
        <f>IF(NOT(ISBLANK(T32)), IF(T32&gt;=AVERAGE($T$2:$T$124), 1, 0), IF(NOT(ISBLANK(U32)), IF(U32&gt;=AVERAGE($U$2:$U$124), 1, 0), "geen data"))</f>
        <v>0</v>
      </c>
      <c r="W32">
        <v>0.08</v>
      </c>
      <c r="X32" s="4">
        <f>IF(ISBLANK(W32), "geen data", IF(W32&lt;=AVERAGE($W$2:$W$124), 1, 0))</f>
        <v>1</v>
      </c>
      <c r="Y32">
        <v>0.08</v>
      </c>
      <c r="Z32" s="4">
        <f>IF(ISBLANK(Y32), "geen data", IF(Y32&lt;=AVERAGE($Y$2:$Y$124), 1, 0))</f>
        <v>1</v>
      </c>
      <c r="AA32">
        <v>2012</v>
      </c>
      <c r="AB32">
        <v>2015</v>
      </c>
      <c r="AE32" s="7" t="s">
        <v>76</v>
      </c>
      <c r="AF32" s="13" t="s">
        <v>77</v>
      </c>
      <c r="AG32" s="2"/>
      <c r="AH32" s="2"/>
      <c r="AI32" t="s">
        <v>282</v>
      </c>
      <c r="AJ32" s="27" t="s">
        <v>557</v>
      </c>
      <c r="AK32" s="27"/>
      <c r="AM32" t="s">
        <v>558</v>
      </c>
      <c r="AO32" t="s">
        <v>283</v>
      </c>
      <c r="AP32" t="s">
        <v>559</v>
      </c>
      <c r="AQ32" t="s">
        <v>274</v>
      </c>
      <c r="AV32" s="27"/>
      <c r="AW32" s="27"/>
      <c r="AX32" t="s">
        <v>560</v>
      </c>
      <c r="BA32" t="s">
        <v>561</v>
      </c>
    </row>
    <row r="33" spans="1:62" ht="24.75" customHeight="1" x14ac:dyDescent="0.25">
      <c r="A33" t="s">
        <v>73</v>
      </c>
      <c r="B33" s="4">
        <v>0</v>
      </c>
      <c r="C33" t="s">
        <v>73</v>
      </c>
      <c r="D33" t="s">
        <v>73</v>
      </c>
      <c r="F33" t="s">
        <v>627</v>
      </c>
      <c r="H33" t="s">
        <v>8</v>
      </c>
      <c r="I33">
        <v>3</v>
      </c>
      <c r="J33" t="s">
        <v>25</v>
      </c>
      <c r="K33" t="s">
        <v>74</v>
      </c>
      <c r="L33" t="s">
        <v>75</v>
      </c>
      <c r="M33" t="s">
        <v>26</v>
      </c>
      <c r="O33" t="s">
        <v>35</v>
      </c>
      <c r="T33">
        <v>2.1</v>
      </c>
      <c r="U33">
        <v>18</v>
      </c>
      <c r="V33">
        <f>IF(NOT(ISBLANK(T33)), IF(T33&gt;=AVERAGE($T$2:$T$124), 1, 0), IF(NOT(ISBLANK(U33)), IF(U33&gt;=AVERAGE($U$2:$U$124), 1, 0), "geen data"))</f>
        <v>0</v>
      </c>
      <c r="W33">
        <v>0.08</v>
      </c>
      <c r="X33" s="4">
        <f>IF(ISBLANK(W33), "geen data", IF(W33&lt;=AVERAGE($W$2:$W$124), 1, 0))</f>
        <v>1</v>
      </c>
      <c r="Y33">
        <v>0.08</v>
      </c>
      <c r="Z33" s="4">
        <f>IF(ISBLANK(Y33), "geen data", IF(Y33&lt;=AVERAGE($Y$2:$Y$124), 1, 0))</f>
        <v>1</v>
      </c>
      <c r="AA33">
        <v>2017</v>
      </c>
      <c r="AB33">
        <v>2020</v>
      </c>
      <c r="AE33" s="7" t="s">
        <v>76</v>
      </c>
      <c r="AF33" s="13" t="s">
        <v>77</v>
      </c>
      <c r="AG33" s="2"/>
      <c r="AH33" s="2"/>
      <c r="AI33" t="s">
        <v>282</v>
      </c>
      <c r="AJ33" s="27" t="s">
        <v>557</v>
      </c>
      <c r="AK33" s="27"/>
      <c r="AM33" t="s">
        <v>558</v>
      </c>
      <c r="AO33" t="s">
        <v>283</v>
      </c>
      <c r="AP33" t="s">
        <v>559</v>
      </c>
      <c r="AQ33" t="s">
        <v>274</v>
      </c>
      <c r="AV33" s="27"/>
      <c r="AW33" s="27"/>
      <c r="AX33" t="s">
        <v>560</v>
      </c>
      <c r="BA33" t="s">
        <v>561</v>
      </c>
    </row>
    <row r="34" spans="1:62" ht="24.75" customHeight="1" x14ac:dyDescent="0.25">
      <c r="A34" t="s">
        <v>73</v>
      </c>
      <c r="B34" s="4">
        <v>0</v>
      </c>
      <c r="C34" t="s">
        <v>73</v>
      </c>
      <c r="D34" t="s">
        <v>73</v>
      </c>
      <c r="F34" t="s">
        <v>628</v>
      </c>
      <c r="H34" t="s">
        <v>8</v>
      </c>
      <c r="I34">
        <v>4</v>
      </c>
      <c r="J34" t="s">
        <v>25</v>
      </c>
      <c r="K34" t="s">
        <v>74</v>
      </c>
      <c r="L34" t="s">
        <v>75</v>
      </c>
      <c r="M34" t="s">
        <v>26</v>
      </c>
      <c r="O34" t="s">
        <v>35</v>
      </c>
      <c r="T34">
        <v>2.1</v>
      </c>
      <c r="U34">
        <v>18</v>
      </c>
      <c r="V34">
        <f>IF(NOT(ISBLANK(T34)), IF(T34&gt;=AVERAGE($T$2:$T$124), 1, 0), IF(NOT(ISBLANK(U34)), IF(U34&gt;=AVERAGE($U$2:$U$124), 1, 0), "geen data"))</f>
        <v>0</v>
      </c>
      <c r="W34">
        <v>0.08</v>
      </c>
      <c r="X34" s="4">
        <f>IF(ISBLANK(W34), "geen data", IF(W34&lt;=AVERAGE($W$2:$W$124), 1, 0))</f>
        <v>1</v>
      </c>
      <c r="Y34">
        <v>0.08</v>
      </c>
      <c r="Z34" s="4">
        <f>IF(ISBLANK(Y34), "geen data", IF(Y34&lt;=AVERAGE($Y$2:$Y$124), 1, 0))</f>
        <v>1</v>
      </c>
      <c r="AA34">
        <v>2021</v>
      </c>
      <c r="AB34">
        <v>2024</v>
      </c>
      <c r="AE34" s="7" t="s">
        <v>76</v>
      </c>
      <c r="AF34" s="13" t="s">
        <v>77</v>
      </c>
      <c r="AG34" s="2"/>
      <c r="AH34" s="2"/>
      <c r="AI34" t="s">
        <v>282</v>
      </c>
      <c r="AJ34" s="27" t="s">
        <v>557</v>
      </c>
      <c r="AK34" s="27"/>
      <c r="AM34" t="s">
        <v>558</v>
      </c>
      <c r="AO34" t="s">
        <v>283</v>
      </c>
      <c r="AP34" t="s">
        <v>559</v>
      </c>
      <c r="AQ34" t="s">
        <v>274</v>
      </c>
      <c r="AV34" s="27"/>
      <c r="AW34" s="27"/>
      <c r="AX34" t="s">
        <v>560</v>
      </c>
      <c r="BA34" t="s">
        <v>561</v>
      </c>
    </row>
    <row r="35" spans="1:62" x14ac:dyDescent="0.25">
      <c r="A35" t="s">
        <v>73</v>
      </c>
      <c r="B35" s="4">
        <v>2</v>
      </c>
      <c r="C35" t="s">
        <v>73</v>
      </c>
      <c r="D35" t="s">
        <v>152</v>
      </c>
      <c r="H35" t="s">
        <v>660</v>
      </c>
      <c r="I35">
        <v>1</v>
      </c>
      <c r="AI35" t="s">
        <v>282</v>
      </c>
      <c r="AJ35" t="s">
        <v>557</v>
      </c>
      <c r="AM35" t="s">
        <v>558</v>
      </c>
      <c r="AO35" t="s">
        <v>283</v>
      </c>
      <c r="AP35" t="s">
        <v>559</v>
      </c>
      <c r="AQ35" t="s">
        <v>274</v>
      </c>
      <c r="AX35" t="s">
        <v>560</v>
      </c>
      <c r="BA35" t="s">
        <v>561</v>
      </c>
    </row>
    <row r="36" spans="1:62" ht="18.75" customHeight="1" x14ac:dyDescent="0.25">
      <c r="A36" t="s">
        <v>78</v>
      </c>
      <c r="B36" s="4">
        <v>0</v>
      </c>
      <c r="C36" t="s">
        <v>78</v>
      </c>
      <c r="D36" t="s">
        <v>78</v>
      </c>
      <c r="F36" t="s">
        <v>629</v>
      </c>
      <c r="H36" t="s">
        <v>8</v>
      </c>
      <c r="I36">
        <v>2</v>
      </c>
      <c r="J36" t="s">
        <v>3</v>
      </c>
      <c r="K36" t="s">
        <v>79</v>
      </c>
      <c r="L36" t="s">
        <v>80</v>
      </c>
      <c r="M36" t="s">
        <v>26</v>
      </c>
      <c r="N36" t="s">
        <v>325</v>
      </c>
      <c r="O36" t="s">
        <v>35</v>
      </c>
      <c r="T36">
        <v>0.5</v>
      </c>
      <c r="V36">
        <f>IF(NOT(ISBLANK(T36)), IF(T36&gt;=AVERAGE($T$2:$T$124), 1, 0), IF(NOT(ISBLANK(U36)), IF(U36&gt;=AVERAGE($U$2:$U$124), 1, 0), "geen data"))</f>
        <v>0</v>
      </c>
      <c r="W36">
        <v>0.45</v>
      </c>
      <c r="X36" s="4">
        <f>IF(ISBLANK(W36), "geen data", IF(W36&lt;=AVERAGE($W$2:$W$124), 1, 0))</f>
        <v>0</v>
      </c>
      <c r="Y36">
        <v>0.1</v>
      </c>
      <c r="Z36" s="4">
        <f>IF(ISBLANK(Y36), "geen data", IF(Y36&lt;=AVERAGE($Y$2:$Y$124), 1, 0))</f>
        <v>1</v>
      </c>
      <c r="AB36">
        <v>2020</v>
      </c>
      <c r="AE36" s="6" t="s">
        <v>81</v>
      </c>
      <c r="AF36" s="13" t="s">
        <v>82</v>
      </c>
      <c r="AG36" s="2"/>
      <c r="AH36" s="2"/>
      <c r="AI36" s="27" t="s">
        <v>282</v>
      </c>
      <c r="AJ36" s="27" t="s">
        <v>279</v>
      </c>
      <c r="AK36" t="s">
        <v>284</v>
      </c>
      <c r="AL36" s="27" t="s">
        <v>562</v>
      </c>
      <c r="AM36" t="s">
        <v>563</v>
      </c>
      <c r="AP36" t="s">
        <v>564</v>
      </c>
      <c r="AQ36" s="27" t="s">
        <v>565</v>
      </c>
      <c r="AR36" t="s">
        <v>566</v>
      </c>
      <c r="AT36" s="27" t="s">
        <v>567</v>
      </c>
      <c r="AU36" s="27" t="s">
        <v>568</v>
      </c>
      <c r="AV36" s="27" t="s">
        <v>569</v>
      </c>
      <c r="AW36" t="s">
        <v>570</v>
      </c>
      <c r="AX36" t="s">
        <v>571</v>
      </c>
      <c r="BA36" t="s">
        <v>572</v>
      </c>
    </row>
    <row r="37" spans="1:62" ht="18.75" customHeight="1" thickBot="1" x14ac:dyDescent="0.3">
      <c r="A37" t="s">
        <v>78</v>
      </c>
      <c r="B37" s="4">
        <v>0</v>
      </c>
      <c r="C37" t="s">
        <v>78</v>
      </c>
      <c r="D37" t="s">
        <v>78</v>
      </c>
      <c r="F37" t="s">
        <v>630</v>
      </c>
      <c r="H37" t="s">
        <v>8</v>
      </c>
      <c r="I37">
        <v>1</v>
      </c>
      <c r="J37" t="s">
        <v>3</v>
      </c>
      <c r="K37" t="s">
        <v>79</v>
      </c>
      <c r="L37" t="s">
        <v>80</v>
      </c>
      <c r="M37" t="s">
        <v>26</v>
      </c>
      <c r="N37" t="s">
        <v>325</v>
      </c>
      <c r="O37" t="s">
        <v>35</v>
      </c>
      <c r="T37">
        <v>5</v>
      </c>
      <c r="V37">
        <f>IF(NOT(ISBLANK(T37)), IF(T37&gt;=AVERAGE($T$2:$T$124), 1, 0), IF(NOT(ISBLANK(U37)), IF(U37&gt;=AVERAGE($U$2:$U$124), 1, 0), "geen data"))</f>
        <v>0</v>
      </c>
      <c r="W37">
        <v>0.45</v>
      </c>
      <c r="X37" s="4">
        <f>IF(ISBLANK(W37), "geen data", IF(W37&lt;=AVERAGE($W$2:$W$124), 1, 0))</f>
        <v>0</v>
      </c>
      <c r="Y37">
        <v>0.1</v>
      </c>
      <c r="Z37" s="4">
        <f>IF(ISBLANK(Y37), "geen data", IF(Y37&lt;=AVERAGE($Y$2:$Y$124), 1, 0))</f>
        <v>1</v>
      </c>
      <c r="AB37">
        <v>2020</v>
      </c>
      <c r="AE37" s="6" t="s">
        <v>81</v>
      </c>
      <c r="AF37" s="13" t="s">
        <v>82</v>
      </c>
      <c r="AG37" s="2"/>
      <c r="AH37" s="2"/>
      <c r="AI37" s="27" t="s">
        <v>282</v>
      </c>
      <c r="AJ37" s="27" t="s">
        <v>279</v>
      </c>
      <c r="AK37" t="s">
        <v>284</v>
      </c>
      <c r="AL37" s="27" t="s">
        <v>562</v>
      </c>
      <c r="AM37" t="s">
        <v>563</v>
      </c>
      <c r="AP37" t="s">
        <v>564</v>
      </c>
      <c r="AQ37" s="27" t="s">
        <v>565</v>
      </c>
      <c r="AR37" t="s">
        <v>566</v>
      </c>
      <c r="AT37" s="27" t="s">
        <v>567</v>
      </c>
      <c r="AU37" s="27" t="s">
        <v>568</v>
      </c>
      <c r="AV37" s="27" t="s">
        <v>569</v>
      </c>
      <c r="AW37" t="s">
        <v>570</v>
      </c>
      <c r="AX37" t="s">
        <v>571</v>
      </c>
      <c r="BA37" t="s">
        <v>572</v>
      </c>
    </row>
    <row r="38" spans="1:62" ht="30.75" customHeight="1" thickBot="1" x14ac:dyDescent="0.3">
      <c r="A38" t="s">
        <v>83</v>
      </c>
      <c r="B38" s="4">
        <v>0</v>
      </c>
      <c r="C38" t="s">
        <v>83</v>
      </c>
      <c r="D38" t="s">
        <v>83</v>
      </c>
      <c r="F38" t="s">
        <v>631</v>
      </c>
      <c r="H38" t="s">
        <v>8</v>
      </c>
      <c r="I38">
        <v>3</v>
      </c>
      <c r="J38" t="s">
        <v>25</v>
      </c>
      <c r="K38" t="s">
        <v>84</v>
      </c>
      <c r="L38" t="s">
        <v>85</v>
      </c>
      <c r="M38" t="s">
        <v>26</v>
      </c>
      <c r="N38" t="s">
        <v>322</v>
      </c>
      <c r="O38" t="s">
        <v>35</v>
      </c>
      <c r="T38">
        <v>10</v>
      </c>
      <c r="V38">
        <f>IF(NOT(ISBLANK(T38)), IF(T38&gt;=AVERAGE($T$2:$T$124), 1, 0), IF(NOT(ISBLANK(U38)), IF(U38&gt;=AVERAGE($U$2:$U$124), 1, 0), "geen data"))</f>
        <v>1</v>
      </c>
      <c r="W38">
        <v>0.5</v>
      </c>
      <c r="X38" s="4">
        <f>IF(ISBLANK(W38), "geen data", IF(W38&lt;=AVERAGE($W$2:$W$124), 1, 0))</f>
        <v>0</v>
      </c>
      <c r="Y38">
        <v>0.1</v>
      </c>
      <c r="Z38" s="4">
        <f>IF(ISBLANK(Y38), "geen data", IF(Y38&lt;=AVERAGE($Y$2:$Y$124), 1, 0))</f>
        <v>1</v>
      </c>
      <c r="AB38">
        <v>2024</v>
      </c>
      <c r="AE38" s="10" t="s">
        <v>86</v>
      </c>
      <c r="AF38" s="13" t="s">
        <v>87</v>
      </c>
      <c r="AI38" t="s">
        <v>282</v>
      </c>
      <c r="AJ38" t="s">
        <v>279</v>
      </c>
      <c r="AK38" t="s">
        <v>284</v>
      </c>
      <c r="AL38" t="s">
        <v>285</v>
      </c>
      <c r="AM38" t="s">
        <v>286</v>
      </c>
      <c r="AO38" t="s">
        <v>280</v>
      </c>
      <c r="AQ38" t="s">
        <v>274</v>
      </c>
      <c r="AX38" t="s">
        <v>573</v>
      </c>
      <c r="BA38" t="s">
        <v>574</v>
      </c>
      <c r="BG38" s="2"/>
      <c r="BI38" s="3"/>
      <c r="BJ38" s="2"/>
    </row>
    <row r="39" spans="1:62" ht="30.75" customHeight="1" thickBot="1" x14ac:dyDescent="0.3">
      <c r="A39" t="s">
        <v>83</v>
      </c>
      <c r="B39" s="4">
        <v>0</v>
      </c>
      <c r="C39" t="s">
        <v>83</v>
      </c>
      <c r="D39" t="s">
        <v>83</v>
      </c>
      <c r="F39" t="s">
        <v>632</v>
      </c>
      <c r="H39" t="s">
        <v>8</v>
      </c>
      <c r="I39">
        <v>2</v>
      </c>
      <c r="J39" t="s">
        <v>25</v>
      </c>
      <c r="K39" t="s">
        <v>84</v>
      </c>
      <c r="L39" t="s">
        <v>85</v>
      </c>
      <c r="M39" t="s">
        <v>26</v>
      </c>
      <c r="N39" t="s">
        <v>322</v>
      </c>
      <c r="O39" t="s">
        <v>35</v>
      </c>
      <c r="T39">
        <v>10</v>
      </c>
      <c r="V39">
        <f>IF(NOT(ISBLANK(T39)), IF(T39&gt;=AVERAGE($T$2:$T$124), 1, 0), IF(NOT(ISBLANK(U39)), IF(U39&gt;=AVERAGE($U$2:$U$124), 1, 0), "geen data"))</f>
        <v>1</v>
      </c>
      <c r="W39">
        <v>0.5</v>
      </c>
      <c r="X39" s="4">
        <f>IF(ISBLANK(W39), "geen data", IF(W39&lt;=AVERAGE($W$2:$W$124), 1, 0))</f>
        <v>0</v>
      </c>
      <c r="Y39">
        <v>0.1</v>
      </c>
      <c r="Z39" s="4">
        <f>IF(ISBLANK(Y39), "geen data", IF(Y39&lt;=AVERAGE($Y$2:$Y$124), 1, 0))</f>
        <v>1</v>
      </c>
      <c r="AB39">
        <v>2024</v>
      </c>
      <c r="AE39" s="10" t="s">
        <v>86</v>
      </c>
      <c r="AF39" s="13" t="s">
        <v>87</v>
      </c>
      <c r="AI39" t="s">
        <v>282</v>
      </c>
      <c r="AJ39" t="s">
        <v>279</v>
      </c>
      <c r="AK39" t="s">
        <v>284</v>
      </c>
      <c r="AL39" t="s">
        <v>285</v>
      </c>
      <c r="AM39" t="s">
        <v>286</v>
      </c>
      <c r="AO39" t="s">
        <v>280</v>
      </c>
      <c r="AQ39" t="s">
        <v>274</v>
      </c>
      <c r="AX39" t="s">
        <v>573</v>
      </c>
      <c r="BA39" t="s">
        <v>574</v>
      </c>
      <c r="BG39" s="2"/>
      <c r="BI39" s="3"/>
      <c r="BJ39" s="2"/>
    </row>
    <row r="40" spans="1:62" ht="15" customHeight="1" x14ac:dyDescent="0.25">
      <c r="A40" t="s">
        <v>88</v>
      </c>
      <c r="B40" s="4">
        <v>0</v>
      </c>
      <c r="C40" t="s">
        <v>88</v>
      </c>
      <c r="D40" t="s">
        <v>88</v>
      </c>
      <c r="F40" t="s">
        <v>633</v>
      </c>
      <c r="H40" t="s">
        <v>8</v>
      </c>
      <c r="I40">
        <v>1</v>
      </c>
      <c r="J40" t="s">
        <v>3</v>
      </c>
      <c r="K40" t="s">
        <v>89</v>
      </c>
      <c r="L40" t="s">
        <v>90</v>
      </c>
      <c r="M40" t="s">
        <v>26</v>
      </c>
      <c r="N40" t="s">
        <v>323</v>
      </c>
      <c r="O40" t="s">
        <v>35</v>
      </c>
      <c r="T40">
        <v>40</v>
      </c>
      <c r="V40">
        <f>IF(NOT(ISBLANK(T40)), IF(T40&gt;=AVERAGE($T$2:$T$124), 1, 0), IF(NOT(ISBLANK(U40)), IF(U40&gt;=AVERAGE($U$2:$U$124), 1, 0), "geen data"))</f>
        <v>1</v>
      </c>
      <c r="W40">
        <v>0.2</v>
      </c>
      <c r="X40" s="4">
        <f>IF(ISBLANK(W40), "geen data", IF(W40&lt;=AVERAGE($W$2:$W$124), 1, 0))</f>
        <v>1</v>
      </c>
      <c r="Y40">
        <v>0.1</v>
      </c>
      <c r="Z40" s="4">
        <f>IF(ISBLANK(Y40), "geen data", IF(Y40&lt;=AVERAGE($Y$2:$Y$124), 1, 0))</f>
        <v>1</v>
      </c>
      <c r="AB40">
        <v>2025</v>
      </c>
      <c r="AF40" s="14" t="s">
        <v>91</v>
      </c>
      <c r="AI40" t="s">
        <v>282</v>
      </c>
      <c r="AJ40" t="s">
        <v>279</v>
      </c>
      <c r="AK40" t="s">
        <v>284</v>
      </c>
      <c r="AL40" t="s">
        <v>285</v>
      </c>
      <c r="AM40" t="s">
        <v>286</v>
      </c>
      <c r="AO40" t="s">
        <v>283</v>
      </c>
      <c r="AP40" t="s">
        <v>575</v>
      </c>
      <c r="AQ40" t="s">
        <v>274</v>
      </c>
      <c r="AX40" t="s">
        <v>281</v>
      </c>
      <c r="BA40" t="s">
        <v>576</v>
      </c>
    </row>
    <row r="41" spans="1:62" ht="33" customHeight="1" x14ac:dyDescent="0.25">
      <c r="A41" t="s">
        <v>92</v>
      </c>
      <c r="B41" s="4">
        <v>1</v>
      </c>
      <c r="C41" t="s">
        <v>88</v>
      </c>
      <c r="D41" t="s">
        <v>92</v>
      </c>
      <c r="G41" s="6" t="s">
        <v>324</v>
      </c>
      <c r="H41" t="s">
        <v>661</v>
      </c>
      <c r="I41">
        <v>1</v>
      </c>
      <c r="J41" t="s">
        <v>25</v>
      </c>
      <c r="K41" t="s">
        <v>89</v>
      </c>
      <c r="L41" t="s">
        <v>90</v>
      </c>
      <c r="M41" t="s">
        <v>26</v>
      </c>
      <c r="N41" t="s">
        <v>322</v>
      </c>
      <c r="O41" t="s">
        <v>35</v>
      </c>
      <c r="T41">
        <v>5</v>
      </c>
      <c r="V41">
        <f>IF(NOT(ISBLANK(T41)), IF(T41&gt;=AVERAGE($T$2:$T$124), 1, 0), IF(NOT(ISBLANK(U41)), IF(U41&gt;=AVERAGE($U$2:$U$124), 1, 0), "geen data"))</f>
        <v>0</v>
      </c>
      <c r="X41" s="4" t="str">
        <f>IF(ISBLANK(W41), "geen data", IF(W41&lt;=AVERAGE($W$2:$W$124), 1, 0))</f>
        <v>geen data</v>
      </c>
      <c r="Z41" s="4" t="str">
        <f>IF(ISBLANK(Y41), "geen data", IF(Y41&lt;=AVERAGE($Y$2:$Y$124), 1, 0))</f>
        <v>geen data</v>
      </c>
      <c r="AB41">
        <v>2025</v>
      </c>
      <c r="AE41" t="s">
        <v>93</v>
      </c>
      <c r="AF41" s="13" t="s">
        <v>37</v>
      </c>
      <c r="BG41" s="2"/>
      <c r="BI41" s="9"/>
      <c r="BJ41" s="2"/>
    </row>
    <row r="42" spans="1:62" ht="23.25" customHeight="1" x14ac:dyDescent="0.25">
      <c r="A42" t="s">
        <v>94</v>
      </c>
      <c r="B42" s="4">
        <v>1</v>
      </c>
      <c r="C42" t="s">
        <v>88</v>
      </c>
      <c r="D42" t="s">
        <v>94</v>
      </c>
      <c r="G42" s="6" t="s">
        <v>324</v>
      </c>
      <c r="H42" t="s">
        <v>661</v>
      </c>
      <c r="I42">
        <v>1</v>
      </c>
      <c r="J42" t="s">
        <v>25</v>
      </c>
      <c r="K42" t="s">
        <v>89</v>
      </c>
      <c r="L42" t="s">
        <v>90</v>
      </c>
      <c r="M42" t="s">
        <v>39</v>
      </c>
      <c r="N42" t="s">
        <v>321</v>
      </c>
      <c r="O42" t="s">
        <v>35</v>
      </c>
      <c r="T42">
        <v>8</v>
      </c>
      <c r="V42">
        <f>IF(NOT(ISBLANK(T42)), IF(T42&gt;=AVERAGE($T$2:$T$124), 1, 0), IF(NOT(ISBLANK(U42)), IF(U42&gt;=AVERAGE($U$2:$U$124), 1, 0), "geen data"))</f>
        <v>1</v>
      </c>
      <c r="X42" s="4" t="str">
        <f>IF(ISBLANK(W42), "geen data", IF(W42&lt;=AVERAGE($W$2:$W$124), 1, 0))</f>
        <v>geen data</v>
      </c>
      <c r="Z42" s="4" t="str">
        <f>IF(ISBLANK(Y42), "geen data", IF(Y42&lt;=AVERAGE($Y$2:$Y$124), 1, 0))</f>
        <v>geen data</v>
      </c>
      <c r="AB42">
        <v>2022</v>
      </c>
      <c r="AF42" s="13" t="s">
        <v>37</v>
      </c>
    </row>
    <row r="43" spans="1:62" ht="35.25" customHeight="1" x14ac:dyDescent="0.25">
      <c r="A43" t="s">
        <v>95</v>
      </c>
      <c r="B43" s="4">
        <v>1</v>
      </c>
      <c r="C43" t="s">
        <v>88</v>
      </c>
      <c r="D43" t="s">
        <v>95</v>
      </c>
      <c r="G43" t="s">
        <v>319</v>
      </c>
      <c r="H43" t="s">
        <v>661</v>
      </c>
      <c r="I43">
        <v>1</v>
      </c>
      <c r="J43" t="s">
        <v>25</v>
      </c>
      <c r="K43" t="s">
        <v>89</v>
      </c>
      <c r="L43" t="s">
        <v>90</v>
      </c>
      <c r="M43" t="s">
        <v>26</v>
      </c>
      <c r="N43" t="s">
        <v>322</v>
      </c>
      <c r="O43" t="s">
        <v>35</v>
      </c>
      <c r="T43">
        <v>4</v>
      </c>
      <c r="V43">
        <f>IF(NOT(ISBLANK(T43)), IF(T43&gt;=AVERAGE($T$2:$T$124), 1, 0), IF(NOT(ISBLANK(U43)), IF(U43&gt;=AVERAGE($U$2:$U$124), 1, 0), "geen data"))</f>
        <v>0</v>
      </c>
      <c r="W43">
        <v>0.5</v>
      </c>
      <c r="X43" s="4">
        <f>IF(ISBLANK(W43), "geen data", IF(W43&lt;=AVERAGE($W$2:$W$124), 1, 0))</f>
        <v>0</v>
      </c>
      <c r="Y43">
        <v>0.1</v>
      </c>
      <c r="Z43" s="4">
        <f>IF(ISBLANK(Y43), "geen data", IF(Y43&lt;=AVERAGE($Y$2:$Y$124), 1, 0))</f>
        <v>1</v>
      </c>
      <c r="AB43">
        <v>2024</v>
      </c>
      <c r="AE43" t="s">
        <v>96</v>
      </c>
      <c r="AF43" s="13" t="s">
        <v>37</v>
      </c>
      <c r="AI43" t="s">
        <v>282</v>
      </c>
      <c r="AJ43" t="s">
        <v>279</v>
      </c>
      <c r="AO43" t="s">
        <v>283</v>
      </c>
      <c r="BA43" t="s">
        <v>577</v>
      </c>
    </row>
    <row r="44" spans="1:62" ht="38.25" customHeight="1" x14ac:dyDescent="0.25">
      <c r="A44" t="s">
        <v>97</v>
      </c>
      <c r="B44" s="4">
        <v>1</v>
      </c>
      <c r="C44" t="s">
        <v>88</v>
      </c>
      <c r="D44" t="s">
        <v>97</v>
      </c>
      <c r="E44" t="s">
        <v>744</v>
      </c>
      <c r="F44" t="s">
        <v>743</v>
      </c>
      <c r="G44" s="6" t="s">
        <v>324</v>
      </c>
      <c r="H44" t="s">
        <v>661</v>
      </c>
      <c r="I44">
        <v>1</v>
      </c>
      <c r="J44" t="s">
        <v>25</v>
      </c>
      <c r="K44" t="s">
        <v>89</v>
      </c>
      <c r="L44" t="s">
        <v>90</v>
      </c>
      <c r="M44" t="s">
        <v>26</v>
      </c>
      <c r="N44" t="s">
        <v>322</v>
      </c>
      <c r="O44" t="s">
        <v>35</v>
      </c>
      <c r="T44">
        <v>9.8000000000000007</v>
      </c>
      <c r="V44">
        <f>IF(NOT(ISBLANK(T44)), IF(T44&gt;=AVERAGE($T$2:$T$124), 1, 0), IF(NOT(ISBLANK(U44)), IF(U44&gt;=AVERAGE($U$2:$U$124), 1, 0), "geen data"))</f>
        <v>1</v>
      </c>
      <c r="W44">
        <v>0.05</v>
      </c>
      <c r="X44" s="4">
        <f>IF(ISBLANK(W44), "geen data", IF(W44&lt;=AVERAGE($W$2:$W$124), 1, 0))</f>
        <v>1</v>
      </c>
      <c r="Y44">
        <v>0.05</v>
      </c>
      <c r="Z44" s="4">
        <f>IF(ISBLANK(Y44), "geen data", IF(Y44&lt;=AVERAGE($Y$2:$Y$124), 1, 0))</f>
        <v>1</v>
      </c>
      <c r="AB44">
        <v>2021</v>
      </c>
      <c r="AD44" t="s">
        <v>745</v>
      </c>
      <c r="AE44" s="6" t="s">
        <v>98</v>
      </c>
      <c r="AF44" s="13" t="s">
        <v>37</v>
      </c>
      <c r="AG44" s="2"/>
      <c r="AH44" s="2"/>
      <c r="AI44" s="27"/>
      <c r="AJ44" s="27" t="s">
        <v>275</v>
      </c>
      <c r="AK44" t="s">
        <v>284</v>
      </c>
      <c r="AL44" s="27" t="s">
        <v>285</v>
      </c>
      <c r="AM44" t="s">
        <v>286</v>
      </c>
      <c r="AP44" t="s">
        <v>578</v>
      </c>
    </row>
    <row r="45" spans="1:62" ht="39.75" customHeight="1" x14ac:dyDescent="0.25">
      <c r="A45" t="s">
        <v>99</v>
      </c>
      <c r="B45" s="4">
        <v>1</v>
      </c>
      <c r="C45" t="s">
        <v>88</v>
      </c>
      <c r="D45" t="s">
        <v>99</v>
      </c>
      <c r="E45" t="s">
        <v>757</v>
      </c>
      <c r="G45" t="s">
        <v>319</v>
      </c>
      <c r="H45" t="s">
        <v>661</v>
      </c>
      <c r="I45">
        <v>1</v>
      </c>
      <c r="J45" t="s">
        <v>25</v>
      </c>
      <c r="K45" t="s">
        <v>89</v>
      </c>
      <c r="L45" t="s">
        <v>90</v>
      </c>
      <c r="M45" t="s">
        <v>26</v>
      </c>
      <c r="N45" t="s">
        <v>321</v>
      </c>
      <c r="O45" t="s">
        <v>35</v>
      </c>
      <c r="T45">
        <v>7</v>
      </c>
      <c r="V45">
        <f>IF(NOT(ISBLANK(T45)), IF(T45&gt;=AVERAGE($T$2:$T$124), 1, 0), IF(NOT(ISBLANK(U45)), IF(U45&gt;=AVERAGE($U$2:$U$124), 1, 0), "geen data"))</f>
        <v>0</v>
      </c>
      <c r="W45">
        <v>0.3</v>
      </c>
      <c r="X45" s="4">
        <f>IF(ISBLANK(W45), "geen data", IF(W45&lt;=AVERAGE($W$2:$W$124), 1, 0))</f>
        <v>0</v>
      </c>
      <c r="Y45">
        <v>0.15</v>
      </c>
      <c r="Z45" s="4">
        <f>IF(ISBLANK(Y45), "geen data", IF(Y45&lt;=AVERAGE($Y$2:$Y$124), 1, 0))</f>
        <v>0</v>
      </c>
      <c r="AB45">
        <v>2018</v>
      </c>
      <c r="AC45" s="6"/>
      <c r="AD45" s="6" t="s">
        <v>100</v>
      </c>
      <c r="AE45" s="6" t="s">
        <v>746</v>
      </c>
      <c r="AF45" s="13" t="s">
        <v>37</v>
      </c>
    </row>
    <row r="46" spans="1:62" ht="24.75" customHeight="1" x14ac:dyDescent="0.25">
      <c r="A46" t="s">
        <v>101</v>
      </c>
      <c r="B46" s="4">
        <v>1</v>
      </c>
      <c r="C46" t="s">
        <v>88</v>
      </c>
      <c r="D46" t="s">
        <v>101</v>
      </c>
      <c r="E46" s="6" t="s">
        <v>758</v>
      </c>
      <c r="G46" s="6" t="s">
        <v>324</v>
      </c>
      <c r="H46" t="s">
        <v>661</v>
      </c>
      <c r="I46">
        <v>1</v>
      </c>
      <c r="J46" t="s">
        <v>25</v>
      </c>
      <c r="K46" t="s">
        <v>89</v>
      </c>
      <c r="L46" t="s">
        <v>90</v>
      </c>
      <c r="M46" t="s">
        <v>39</v>
      </c>
      <c r="N46" t="s">
        <v>323</v>
      </c>
      <c r="O46" t="s">
        <v>35</v>
      </c>
      <c r="T46">
        <v>2</v>
      </c>
      <c r="V46">
        <f>IF(NOT(ISBLANK(T46)), IF(T46&gt;=AVERAGE($T$2:$T$124), 1, 0), IF(NOT(ISBLANK(U46)), IF(U46&gt;=AVERAGE($U$2:$U$124), 1, 0), "geen data"))</f>
        <v>0</v>
      </c>
      <c r="W46">
        <v>7.0000000000000007E-2</v>
      </c>
      <c r="X46" s="4">
        <f>IF(ISBLANK(W46), "geen data", IF(W46&lt;=AVERAGE($W$2:$W$124), 1, 0))</f>
        <v>1</v>
      </c>
      <c r="Y46">
        <v>7.0000000000000007E-2</v>
      </c>
      <c r="Z46" s="4">
        <f>IF(ISBLANK(Y46), "geen data", IF(Y46&lt;=AVERAGE($Y$2:$Y$124), 1, 0))</f>
        <v>1</v>
      </c>
      <c r="AB46">
        <v>2014</v>
      </c>
      <c r="AD46" s="6" t="s">
        <v>102</v>
      </c>
      <c r="AE46" s="6" t="s">
        <v>747</v>
      </c>
      <c r="AF46" s="13" t="s">
        <v>37</v>
      </c>
    </row>
    <row r="47" spans="1:62" x14ac:dyDescent="0.25">
      <c r="A47" t="s">
        <v>103</v>
      </c>
      <c r="B47" s="4">
        <v>1</v>
      </c>
      <c r="C47" t="s">
        <v>88</v>
      </c>
      <c r="D47" t="s">
        <v>103</v>
      </c>
      <c r="G47" s="6" t="s">
        <v>324</v>
      </c>
      <c r="H47" t="s">
        <v>661</v>
      </c>
      <c r="I47">
        <v>1</v>
      </c>
      <c r="J47" t="s">
        <v>25</v>
      </c>
      <c r="K47" t="s">
        <v>89</v>
      </c>
      <c r="L47" t="s">
        <v>90</v>
      </c>
      <c r="M47" t="s">
        <v>39</v>
      </c>
      <c r="N47" t="s">
        <v>322</v>
      </c>
      <c r="O47" t="s">
        <v>35</v>
      </c>
      <c r="T47">
        <v>4</v>
      </c>
      <c r="V47">
        <f>IF(NOT(ISBLANK(T47)), IF(T47&gt;=AVERAGE($T$2:$T$124), 1, 0), IF(NOT(ISBLANK(U47)), IF(U47&gt;=AVERAGE($U$2:$U$124), 1, 0), "geen data"))</f>
        <v>0</v>
      </c>
      <c r="W47">
        <v>0.3</v>
      </c>
      <c r="X47" s="4">
        <f>IF(ISBLANK(W47), "geen data", IF(W47&lt;=AVERAGE($W$2:$W$124), 1, 0))</f>
        <v>0</v>
      </c>
      <c r="Y47">
        <v>0.15</v>
      </c>
      <c r="Z47" s="4">
        <f>IF(ISBLANK(Y47), "geen data", IF(Y47&lt;=AVERAGE($Y$2:$Y$124), 1, 0))</f>
        <v>0</v>
      </c>
      <c r="AB47">
        <v>2021</v>
      </c>
      <c r="AD47" s="6" t="s">
        <v>748</v>
      </c>
      <c r="AE47" s="6" t="s">
        <v>749</v>
      </c>
      <c r="AF47" t="s">
        <v>37</v>
      </c>
      <c r="AI47" t="s">
        <v>282</v>
      </c>
      <c r="AJ47" t="s">
        <v>279</v>
      </c>
      <c r="AK47" t="s">
        <v>579</v>
      </c>
      <c r="AL47" t="s">
        <v>580</v>
      </c>
      <c r="AM47" t="s">
        <v>581</v>
      </c>
      <c r="AO47" t="s">
        <v>283</v>
      </c>
      <c r="AP47" t="s">
        <v>582</v>
      </c>
    </row>
    <row r="48" spans="1:62" ht="30.75" customHeight="1" x14ac:dyDescent="0.25">
      <c r="A48" t="s">
        <v>104</v>
      </c>
      <c r="B48" s="4">
        <v>1</v>
      </c>
      <c r="C48" t="s">
        <v>88</v>
      </c>
      <c r="D48" t="s">
        <v>104</v>
      </c>
      <c r="E48" t="s">
        <v>756</v>
      </c>
      <c r="F48" t="s">
        <v>755</v>
      </c>
      <c r="G48" t="s">
        <v>319</v>
      </c>
      <c r="H48" t="s">
        <v>661</v>
      </c>
      <c r="I48">
        <v>1</v>
      </c>
      <c r="J48" t="s">
        <v>25</v>
      </c>
      <c r="K48" t="s">
        <v>89</v>
      </c>
      <c r="L48" t="s">
        <v>90</v>
      </c>
      <c r="M48" t="s">
        <v>26</v>
      </c>
      <c r="N48" t="s">
        <v>321</v>
      </c>
      <c r="O48" t="s">
        <v>35</v>
      </c>
      <c r="T48">
        <v>2</v>
      </c>
      <c r="V48">
        <f>IF(NOT(ISBLANK(T48)), IF(T48&gt;=AVERAGE($T$2:$T$124), 1, 0), IF(NOT(ISBLANK(U48)), IF(U48&gt;=AVERAGE($U$2:$U$124), 1, 0), "geen data"))</f>
        <v>0</v>
      </c>
      <c r="W48">
        <v>0.3</v>
      </c>
      <c r="X48" s="4">
        <f>IF(ISBLANK(W48), "geen data", IF(W48&lt;=AVERAGE($W$2:$W$124), 1, 0))</f>
        <v>0</v>
      </c>
      <c r="Y48">
        <v>0.15</v>
      </c>
      <c r="Z48" s="4">
        <f>IF(ISBLANK(Y48), "geen data", IF(Y48&lt;=AVERAGE($Y$2:$Y$124), 1, 0))</f>
        <v>0</v>
      </c>
      <c r="AB48">
        <v>2023</v>
      </c>
      <c r="AD48" s="6" t="s">
        <v>105</v>
      </c>
      <c r="AE48" s="6" t="s">
        <v>750</v>
      </c>
      <c r="AF48" s="13" t="s">
        <v>37</v>
      </c>
    </row>
    <row r="49" spans="1:53" x14ac:dyDescent="0.25">
      <c r="A49" t="s">
        <v>106</v>
      </c>
      <c r="B49" s="4">
        <v>1</v>
      </c>
      <c r="C49" t="s">
        <v>88</v>
      </c>
      <c r="D49" t="s">
        <v>106</v>
      </c>
      <c r="G49" s="6" t="s">
        <v>324</v>
      </c>
      <c r="H49" t="s">
        <v>661</v>
      </c>
      <c r="I49">
        <v>1</v>
      </c>
      <c r="J49" t="s">
        <v>25</v>
      </c>
      <c r="K49" t="s">
        <v>89</v>
      </c>
      <c r="L49" t="s">
        <v>90</v>
      </c>
      <c r="M49" t="s">
        <v>26</v>
      </c>
      <c r="O49" t="s">
        <v>35</v>
      </c>
      <c r="T49">
        <v>4</v>
      </c>
      <c r="V49">
        <f>IF(NOT(ISBLANK(T49)), IF(T49&gt;=AVERAGE($T$2:$T$124), 1, 0), IF(NOT(ISBLANK(U49)), IF(U49&gt;=AVERAGE($U$2:$U$124), 1, 0), "geen data"))</f>
        <v>0</v>
      </c>
      <c r="W49">
        <v>0.3</v>
      </c>
      <c r="X49" s="4">
        <f>IF(ISBLANK(W49), "geen data", IF(W49&lt;=AVERAGE($W$2:$W$124), 1, 0))</f>
        <v>0</v>
      </c>
      <c r="Y49">
        <v>0.15</v>
      </c>
      <c r="Z49" s="4">
        <f>IF(ISBLANK(Y49), "geen data", IF(Y49&lt;=AVERAGE($Y$2:$Y$124), 1, 0))</f>
        <v>0</v>
      </c>
      <c r="AB49" t="s">
        <v>60</v>
      </c>
      <c r="AE49" s="6" t="s">
        <v>107</v>
      </c>
      <c r="AF49" t="s">
        <v>108</v>
      </c>
      <c r="AI49" t="s">
        <v>583</v>
      </c>
      <c r="AJ49" t="s">
        <v>584</v>
      </c>
      <c r="AQ49" t="s">
        <v>288</v>
      </c>
      <c r="AX49" t="s">
        <v>289</v>
      </c>
      <c r="AY49" t="s">
        <v>290</v>
      </c>
      <c r="AZ49" t="s">
        <v>585</v>
      </c>
      <c r="BA49" t="s">
        <v>586</v>
      </c>
    </row>
    <row r="50" spans="1:53" ht="28.5" customHeight="1" x14ac:dyDescent="0.25">
      <c r="A50" t="s">
        <v>109</v>
      </c>
      <c r="B50" s="4">
        <v>1</v>
      </c>
      <c r="C50" t="s">
        <v>88</v>
      </c>
      <c r="D50" t="s">
        <v>109</v>
      </c>
      <c r="F50" t="s">
        <v>754</v>
      </c>
      <c r="G50" s="6" t="s">
        <v>324</v>
      </c>
      <c r="H50" t="s">
        <v>661</v>
      </c>
      <c r="I50">
        <v>1</v>
      </c>
      <c r="J50" t="s">
        <v>25</v>
      </c>
      <c r="K50" t="s">
        <v>89</v>
      </c>
      <c r="L50" t="s">
        <v>90</v>
      </c>
      <c r="M50" t="s">
        <v>26</v>
      </c>
      <c r="N50" t="s">
        <v>322</v>
      </c>
      <c r="O50" t="s">
        <v>35</v>
      </c>
      <c r="T50">
        <v>4</v>
      </c>
      <c r="U50">
        <v>10</v>
      </c>
      <c r="V50">
        <f>IF(NOT(ISBLANK(T50)), IF(T50&gt;=AVERAGE($T$2:$T$124), 1, 0), IF(NOT(ISBLANK(U50)), IF(U50&gt;=AVERAGE($U$2:$U$124), 1, 0), "geen data"))</f>
        <v>0</v>
      </c>
      <c r="W50">
        <v>0.3</v>
      </c>
      <c r="X50" s="4">
        <f>IF(ISBLANK(W50), "geen data", IF(W50&lt;=AVERAGE($W$2:$W$124), 1, 0))</f>
        <v>0</v>
      </c>
      <c r="Y50">
        <v>0.15</v>
      </c>
      <c r="Z50" s="4">
        <f>IF(ISBLANK(Y50), "geen data", IF(Y50&lt;=AVERAGE($Y$2:$Y$124), 1, 0))</f>
        <v>0</v>
      </c>
      <c r="AB50">
        <v>2024</v>
      </c>
      <c r="AD50" s="6" t="s">
        <v>751</v>
      </c>
      <c r="AE50" s="17" t="s">
        <v>110</v>
      </c>
      <c r="AF50" s="13" t="s">
        <v>37</v>
      </c>
      <c r="AI50" t="s">
        <v>282</v>
      </c>
      <c r="AJ50" t="s">
        <v>279</v>
      </c>
      <c r="AO50" t="s">
        <v>283</v>
      </c>
      <c r="AQ50" t="s">
        <v>274</v>
      </c>
      <c r="AU50" t="s">
        <v>587</v>
      </c>
      <c r="BA50" t="s">
        <v>588</v>
      </c>
    </row>
    <row r="51" spans="1:53" ht="33.75" customHeight="1" x14ac:dyDescent="0.25">
      <c r="A51" t="s">
        <v>111</v>
      </c>
      <c r="B51" s="4">
        <v>1</v>
      </c>
      <c r="C51" t="s">
        <v>88</v>
      </c>
      <c r="D51" t="s">
        <v>111</v>
      </c>
      <c r="F51" t="s">
        <v>753</v>
      </c>
      <c r="G51" s="6" t="s">
        <v>324</v>
      </c>
      <c r="H51" t="s">
        <v>661</v>
      </c>
      <c r="I51">
        <v>1</v>
      </c>
      <c r="J51" t="s">
        <v>25</v>
      </c>
      <c r="K51" t="s">
        <v>89</v>
      </c>
      <c r="L51" t="s">
        <v>90</v>
      </c>
      <c r="M51" t="s">
        <v>26</v>
      </c>
      <c r="N51" t="s">
        <v>322</v>
      </c>
      <c r="O51" t="s">
        <v>35</v>
      </c>
      <c r="T51">
        <v>4</v>
      </c>
      <c r="V51">
        <f>IF(NOT(ISBLANK(T51)), IF(T51&gt;=AVERAGE($T$2:$T$124), 1, 0), IF(NOT(ISBLANK(U51)), IF(U51&gt;=AVERAGE($U$2:$U$124), 1, 0), "geen data"))</f>
        <v>0</v>
      </c>
      <c r="X51" s="4" t="str">
        <f>IF(ISBLANK(W51), "geen data", IF(W51&lt;=AVERAGE($W$2:$W$124), 1, 0))</f>
        <v>geen data</v>
      </c>
      <c r="Y51">
        <v>0.15</v>
      </c>
      <c r="Z51" s="4">
        <f>IF(ISBLANK(Y51), "geen data", IF(Y51&lt;=AVERAGE($Y$2:$Y$124), 1, 0))</f>
        <v>0</v>
      </c>
      <c r="AB51">
        <v>2025</v>
      </c>
      <c r="AD51" s="6" t="s">
        <v>752</v>
      </c>
      <c r="AE51" s="6" t="s">
        <v>112</v>
      </c>
      <c r="AF51" s="13" t="s">
        <v>37</v>
      </c>
    </row>
    <row r="52" spans="1:53" ht="35.25" customHeight="1" x14ac:dyDescent="0.25">
      <c r="A52" t="s">
        <v>113</v>
      </c>
      <c r="B52" s="4">
        <v>1</v>
      </c>
      <c r="C52" t="s">
        <v>88</v>
      </c>
      <c r="D52" t="s">
        <v>113</v>
      </c>
      <c r="E52" t="s">
        <v>761</v>
      </c>
      <c r="F52" t="s">
        <v>760</v>
      </c>
      <c r="G52" s="6" t="s">
        <v>324</v>
      </c>
      <c r="H52" t="s">
        <v>661</v>
      </c>
      <c r="I52">
        <v>1</v>
      </c>
      <c r="J52" t="s">
        <v>25</v>
      </c>
      <c r="K52" t="s">
        <v>89</v>
      </c>
      <c r="L52" t="s">
        <v>90</v>
      </c>
      <c r="M52" t="s">
        <v>26</v>
      </c>
      <c r="N52" t="s">
        <v>322</v>
      </c>
      <c r="O52" t="s">
        <v>35</v>
      </c>
      <c r="T52">
        <v>8</v>
      </c>
      <c r="V52">
        <f>IF(NOT(ISBLANK(T52)), IF(T52&gt;=AVERAGE($T$2:$T$124), 1, 0), IF(NOT(ISBLANK(U52)), IF(U52&gt;=AVERAGE($U$2:$U$124), 1, 0), "geen data"))</f>
        <v>1</v>
      </c>
      <c r="X52" s="4" t="str">
        <f>IF(ISBLANK(W52), "geen data", IF(W52&lt;=AVERAGE($W$2:$W$124), 1, 0))</f>
        <v>geen data</v>
      </c>
      <c r="Y52">
        <v>0.2</v>
      </c>
      <c r="Z52" s="4">
        <f>IF(ISBLANK(Y52), "geen data", IF(Y52&lt;=AVERAGE($Y$2:$Y$124), 1, 0))</f>
        <v>0</v>
      </c>
      <c r="AB52">
        <v>2016</v>
      </c>
      <c r="AD52" s="6" t="s">
        <v>114</v>
      </c>
      <c r="AE52" s="6" t="s">
        <v>759</v>
      </c>
      <c r="AF52" s="13" t="s">
        <v>37</v>
      </c>
    </row>
    <row r="53" spans="1:53" x14ac:dyDescent="0.25">
      <c r="A53" t="s">
        <v>115</v>
      </c>
      <c r="B53" s="4">
        <v>1</v>
      </c>
      <c r="C53" t="s">
        <v>88</v>
      </c>
      <c r="D53" t="s">
        <v>115</v>
      </c>
      <c r="E53" t="s">
        <v>763</v>
      </c>
      <c r="G53" s="6" t="s">
        <v>324</v>
      </c>
      <c r="H53" t="s">
        <v>661</v>
      </c>
      <c r="I53">
        <v>1</v>
      </c>
      <c r="J53" t="s">
        <v>25</v>
      </c>
      <c r="K53" t="s">
        <v>89</v>
      </c>
      <c r="L53" t="s">
        <v>90</v>
      </c>
      <c r="M53" t="s">
        <v>26</v>
      </c>
      <c r="N53" t="s">
        <v>322</v>
      </c>
      <c r="O53" t="s">
        <v>35</v>
      </c>
      <c r="T53">
        <v>4</v>
      </c>
      <c r="V53">
        <f>IF(NOT(ISBLANK(T53)), IF(T53&gt;=AVERAGE($T$2:$T$124), 1, 0), IF(NOT(ISBLANK(U53)), IF(U53&gt;=AVERAGE($U$2:$U$124), 1, 0), "geen data"))</f>
        <v>0</v>
      </c>
      <c r="W53">
        <v>0.3</v>
      </c>
      <c r="X53" s="4">
        <f>IF(ISBLANK(W53), "geen data", IF(W53&lt;=AVERAGE($W$2:$W$124), 1, 0))</f>
        <v>0</v>
      </c>
      <c r="Y53">
        <v>0.15</v>
      </c>
      <c r="Z53" s="4">
        <f>IF(ISBLANK(Y53), "geen data", IF(Y53&lt;=AVERAGE($Y$2:$Y$124), 1, 0))</f>
        <v>0</v>
      </c>
      <c r="AB53">
        <v>2023</v>
      </c>
      <c r="AD53" s="6" t="s">
        <v>762</v>
      </c>
      <c r="AE53" s="6" t="s">
        <v>764</v>
      </c>
      <c r="AF53" t="s">
        <v>116</v>
      </c>
    </row>
    <row r="54" spans="1:53" ht="43.5" customHeight="1" x14ac:dyDescent="0.25">
      <c r="A54" t="s">
        <v>117</v>
      </c>
      <c r="B54" s="4">
        <v>1</v>
      </c>
      <c r="C54" t="s">
        <v>88</v>
      </c>
      <c r="D54" t="s">
        <v>117</v>
      </c>
      <c r="E54" s="30" t="s">
        <v>765</v>
      </c>
      <c r="F54" s="30" t="s">
        <v>768</v>
      </c>
      <c r="G54" s="6" t="s">
        <v>324</v>
      </c>
      <c r="H54" t="s">
        <v>661</v>
      </c>
      <c r="I54">
        <v>1</v>
      </c>
      <c r="J54" t="s">
        <v>25</v>
      </c>
      <c r="K54" t="s">
        <v>89</v>
      </c>
      <c r="L54" t="s">
        <v>90</v>
      </c>
      <c r="M54" t="s">
        <v>342</v>
      </c>
      <c r="N54" t="s">
        <v>321</v>
      </c>
      <c r="O54" t="s">
        <v>35</v>
      </c>
      <c r="Q54">
        <v>1</v>
      </c>
      <c r="S54" t="s">
        <v>769</v>
      </c>
      <c r="T54">
        <v>4</v>
      </c>
      <c r="V54">
        <f>IF(NOT(ISBLANK(T54)), IF(T54&gt;=AVERAGE($T$2:$T$124), 1, 0), IF(NOT(ISBLANK(U54)), IF(U54&gt;=AVERAGE($U$2:$U$124), 1, 0), "geen data"))</f>
        <v>0</v>
      </c>
      <c r="X54" s="4" t="str">
        <f>IF(ISBLANK(W54), "geen data", IF(W54&lt;=AVERAGE($W$2:$W$124), 1, 0))</f>
        <v>geen data</v>
      </c>
      <c r="Z54" s="4" t="str">
        <f>IF(ISBLANK(Y54), "geen data", IF(Y54&lt;=AVERAGE($Y$2:$Y$124), 1, 0))</f>
        <v>geen data</v>
      </c>
      <c r="AD54" s="6" t="s">
        <v>766</v>
      </c>
      <c r="AE54" s="6" t="s">
        <v>767</v>
      </c>
      <c r="AF54" s="13" t="s">
        <v>116</v>
      </c>
    </row>
    <row r="55" spans="1:53" ht="45" customHeight="1" x14ac:dyDescent="0.25">
      <c r="A55" t="s">
        <v>118</v>
      </c>
      <c r="B55" s="4">
        <v>1</v>
      </c>
      <c r="C55" t="s">
        <v>88</v>
      </c>
      <c r="D55" t="s">
        <v>118</v>
      </c>
      <c r="E55" s="6" t="s">
        <v>771</v>
      </c>
      <c r="G55" s="6" t="s">
        <v>324</v>
      </c>
      <c r="H55" t="s">
        <v>661</v>
      </c>
      <c r="I55">
        <v>1</v>
      </c>
      <c r="J55" t="s">
        <v>25</v>
      </c>
      <c r="K55" t="s">
        <v>89</v>
      </c>
      <c r="L55" t="s">
        <v>90</v>
      </c>
      <c r="M55" t="s">
        <v>39</v>
      </c>
      <c r="N55" t="s">
        <v>323</v>
      </c>
      <c r="O55" t="s">
        <v>35</v>
      </c>
      <c r="T55">
        <v>4</v>
      </c>
      <c r="V55">
        <f>IF(NOT(ISBLANK(T55)), IF(T55&gt;=AVERAGE($T$2:$T$124), 1, 0), IF(NOT(ISBLANK(U55)), IF(U55&gt;=AVERAGE($U$2:$U$124), 1, 0), "geen data"))</f>
        <v>0</v>
      </c>
      <c r="W55">
        <v>0.3</v>
      </c>
      <c r="X55" s="4">
        <f>IF(ISBLANK(W55), "geen data", IF(W55&lt;=AVERAGE($W$2:$W$124), 1, 0))</f>
        <v>0</v>
      </c>
      <c r="Y55">
        <v>0.15</v>
      </c>
      <c r="Z55" s="4">
        <f>IF(ISBLANK(Y55), "geen data", IF(Y55&lt;=AVERAGE($Y$2:$Y$124), 1, 0))</f>
        <v>0</v>
      </c>
      <c r="AB55">
        <v>2009</v>
      </c>
      <c r="AD55" s="6" t="s">
        <v>119</v>
      </c>
      <c r="AE55" s="6" t="s">
        <v>770</v>
      </c>
      <c r="AF55" s="13" t="s">
        <v>37</v>
      </c>
    </row>
    <row r="56" spans="1:53" ht="36" customHeight="1" x14ac:dyDescent="0.25">
      <c r="A56" t="s">
        <v>120</v>
      </c>
      <c r="B56" s="4">
        <v>1</v>
      </c>
      <c r="C56" t="s">
        <v>88</v>
      </c>
      <c r="D56" t="s">
        <v>120</v>
      </c>
      <c r="H56" t="s">
        <v>661</v>
      </c>
      <c r="I56">
        <v>1</v>
      </c>
      <c r="J56" t="s">
        <v>25</v>
      </c>
      <c r="K56" t="s">
        <v>89</v>
      </c>
      <c r="L56" t="s">
        <v>90</v>
      </c>
      <c r="M56" t="s">
        <v>342</v>
      </c>
      <c r="N56" t="s">
        <v>61</v>
      </c>
      <c r="O56" t="s">
        <v>35</v>
      </c>
      <c r="P56">
        <v>1</v>
      </c>
      <c r="Q56">
        <v>1</v>
      </c>
      <c r="R56">
        <v>2</v>
      </c>
      <c r="S56">
        <v>2</v>
      </c>
      <c r="T56">
        <v>4</v>
      </c>
      <c r="V56">
        <f>IF(NOT(ISBLANK(T56)), IF(T56&gt;=AVERAGE($T$2:$T$124), 1, 0), IF(NOT(ISBLANK(U56)), IF(U56&gt;=AVERAGE($U$2:$U$124), 1, 0), "geen data"))</f>
        <v>0</v>
      </c>
      <c r="W56">
        <v>0.3</v>
      </c>
      <c r="X56" s="4">
        <f>IF(ISBLANK(W56), "geen data", IF(W56&lt;=AVERAGE($W$2:$W$124), 1, 0))</f>
        <v>0</v>
      </c>
      <c r="Y56">
        <v>0.15</v>
      </c>
      <c r="Z56" s="4">
        <f>IF(ISBLANK(Y56), "geen data", IF(Y56&lt;=AVERAGE($Y$2:$Y$124), 1, 0))</f>
        <v>0</v>
      </c>
      <c r="AA56">
        <v>2010</v>
      </c>
      <c r="AB56">
        <v>2013</v>
      </c>
      <c r="AD56" s="6" t="s">
        <v>773</v>
      </c>
      <c r="AE56" s="6" t="s">
        <v>772</v>
      </c>
      <c r="AF56" s="13" t="s">
        <v>37</v>
      </c>
    </row>
    <row r="57" spans="1:53" ht="36" customHeight="1" x14ac:dyDescent="0.25">
      <c r="A57" t="s">
        <v>120</v>
      </c>
      <c r="B57" s="4">
        <v>1</v>
      </c>
      <c r="C57" t="s">
        <v>88</v>
      </c>
      <c r="D57" t="s">
        <v>120</v>
      </c>
      <c r="H57" t="s">
        <v>661</v>
      </c>
      <c r="I57">
        <v>2</v>
      </c>
      <c r="J57" t="s">
        <v>25</v>
      </c>
      <c r="K57" t="s">
        <v>89</v>
      </c>
      <c r="L57" t="s">
        <v>90</v>
      </c>
      <c r="M57" t="s">
        <v>342</v>
      </c>
      <c r="N57" t="s">
        <v>61</v>
      </c>
      <c r="O57" t="s">
        <v>35</v>
      </c>
      <c r="P57">
        <v>1</v>
      </c>
      <c r="Q57">
        <v>1</v>
      </c>
      <c r="R57">
        <v>1</v>
      </c>
      <c r="S57">
        <v>1</v>
      </c>
      <c r="T57">
        <v>4</v>
      </c>
      <c r="V57">
        <f>IF(NOT(ISBLANK(T57)), IF(T57&gt;=AVERAGE($T$2:$T$124), 1, 0), IF(NOT(ISBLANK(U57)), IF(U57&gt;=AVERAGE($U$2:$U$124), 1, 0), "geen data"))</f>
        <v>0</v>
      </c>
      <c r="W57">
        <v>0.3</v>
      </c>
      <c r="X57" s="4">
        <f>IF(ISBLANK(W57), "geen data", IF(W57&lt;=AVERAGE($W$2:$W$124), 1, 0))</f>
        <v>0</v>
      </c>
      <c r="Y57">
        <v>0.15</v>
      </c>
      <c r="Z57" s="4">
        <f>IF(ISBLANK(Y57), "geen data", IF(Y57&lt;=AVERAGE($Y$2:$Y$124), 1, 0))</f>
        <v>0</v>
      </c>
      <c r="AA57">
        <v>2014</v>
      </c>
      <c r="AB57">
        <v>2019</v>
      </c>
      <c r="AD57" s="6" t="s">
        <v>774</v>
      </c>
      <c r="AE57" s="6" t="s">
        <v>772</v>
      </c>
      <c r="AF57" s="13" t="s">
        <v>37</v>
      </c>
    </row>
    <row r="58" spans="1:53" ht="36" customHeight="1" x14ac:dyDescent="0.25">
      <c r="A58" t="s">
        <v>120</v>
      </c>
      <c r="B58" s="4">
        <v>1</v>
      </c>
      <c r="C58" t="s">
        <v>88</v>
      </c>
      <c r="D58" t="s">
        <v>120</v>
      </c>
      <c r="H58" t="s">
        <v>661</v>
      </c>
      <c r="I58">
        <v>0</v>
      </c>
      <c r="J58" t="s">
        <v>25</v>
      </c>
      <c r="K58" t="s">
        <v>89</v>
      </c>
      <c r="L58" t="s">
        <v>90</v>
      </c>
      <c r="M58" t="s">
        <v>342</v>
      </c>
      <c r="N58" t="s">
        <v>61</v>
      </c>
      <c r="O58" t="s">
        <v>35</v>
      </c>
      <c r="P58">
        <v>1</v>
      </c>
      <c r="Q58">
        <v>1</v>
      </c>
      <c r="R58">
        <v>1</v>
      </c>
      <c r="S58">
        <v>1</v>
      </c>
      <c r="T58">
        <v>4</v>
      </c>
      <c r="V58">
        <f>IF(NOT(ISBLANK(T58)), IF(T58&gt;=AVERAGE($T$2:$T$124), 1, 0), IF(NOT(ISBLANK(U58)), IF(U58&gt;=AVERAGE($U$2:$U$124), 1, 0), "geen data"))</f>
        <v>0</v>
      </c>
      <c r="W58">
        <v>0.3</v>
      </c>
      <c r="X58" s="4">
        <f>IF(ISBLANK(W58), "geen data", IF(W58&lt;=AVERAGE($W$2:$W$124), 1, 0))</f>
        <v>0</v>
      </c>
      <c r="Y58">
        <v>0.15</v>
      </c>
      <c r="Z58" s="4">
        <f>IF(ISBLANK(Y58), "geen data", IF(Y58&lt;=AVERAGE($Y$2:$Y$124), 1, 0))</f>
        <v>0</v>
      </c>
      <c r="AA58">
        <v>2020</v>
      </c>
      <c r="AB58">
        <v>2025</v>
      </c>
      <c r="AD58" s="6" t="s">
        <v>775</v>
      </c>
      <c r="AE58" s="6" t="s">
        <v>772</v>
      </c>
      <c r="AF58" s="13" t="s">
        <v>37</v>
      </c>
    </row>
    <row r="59" spans="1:53" ht="18.75" customHeight="1" x14ac:dyDescent="0.25">
      <c r="A59" t="s">
        <v>121</v>
      </c>
      <c r="B59" s="4">
        <v>0</v>
      </c>
      <c r="C59" t="s">
        <v>121</v>
      </c>
      <c r="D59" t="s">
        <v>121</v>
      </c>
      <c r="I59">
        <v>0</v>
      </c>
      <c r="J59" t="s">
        <v>25</v>
      </c>
      <c r="V59" t="str">
        <f>IF(NOT(ISBLANK(T59)), IF(T59&gt;=AVERAGE($T$2:$T$124), 1, 0), IF(NOT(ISBLANK(U59)), IF(U59&gt;=AVERAGE($U$2:$U$124), 1, 0), "geen data"))</f>
        <v>geen data</v>
      </c>
      <c r="X59" s="4" t="str">
        <f>IF(ISBLANK(W59), "geen data", IF(W59&lt;=AVERAGE($W$2:$W$124), 1, 0))</f>
        <v>geen data</v>
      </c>
      <c r="Z59" s="4" t="str">
        <f>IF(ISBLANK(Y59), "geen data", IF(Y59&lt;=AVERAGE($Y$2:$Y$124), 1, 0))</f>
        <v>geen data</v>
      </c>
      <c r="AE59" s="10"/>
      <c r="AF59" s="15" t="s">
        <v>122</v>
      </c>
    </row>
    <row r="60" spans="1:53" ht="18.75" customHeight="1" x14ac:dyDescent="0.25">
      <c r="A60" t="s">
        <v>123</v>
      </c>
      <c r="B60" s="4" t="s">
        <v>618</v>
      </c>
      <c r="C60" t="s">
        <v>121</v>
      </c>
      <c r="D60" t="s">
        <v>123</v>
      </c>
      <c r="H60" t="s">
        <v>662</v>
      </c>
      <c r="I60">
        <v>1</v>
      </c>
      <c r="J60" t="s">
        <v>25</v>
      </c>
      <c r="K60" t="s">
        <v>124</v>
      </c>
      <c r="L60" t="s">
        <v>125</v>
      </c>
      <c r="M60" t="s">
        <v>26</v>
      </c>
      <c r="O60" t="s">
        <v>35</v>
      </c>
      <c r="T60">
        <v>2</v>
      </c>
      <c r="V60">
        <f>IF(NOT(ISBLANK(T60)), IF(T60&gt;=AVERAGE($T$2:$T$124), 1, 0), IF(NOT(ISBLANK(U60)), IF(U60&gt;=AVERAGE($U$2:$U$124), 1, 0), "geen data"))</f>
        <v>0</v>
      </c>
      <c r="X60" s="4" t="str">
        <f>IF(ISBLANK(W60), "geen data", IF(W60&lt;=AVERAGE($W$2:$W$124), 1, 0))</f>
        <v>geen data</v>
      </c>
      <c r="Z60" s="4" t="str">
        <f>IF(ISBLANK(Y60), "geen data", IF(Y60&lt;=AVERAGE($Y$2:$Y$124), 1, 0))</f>
        <v>geen data</v>
      </c>
      <c r="AB60">
        <v>2012</v>
      </c>
      <c r="AE60" s="6" t="s">
        <v>126</v>
      </c>
      <c r="AF60" s="15" t="s">
        <v>127</v>
      </c>
    </row>
    <row r="61" spans="1:53" s="4" customFormat="1" x14ac:dyDescent="0.25">
      <c r="A61" s="4" t="s">
        <v>128</v>
      </c>
      <c r="B61" s="4">
        <v>0</v>
      </c>
      <c r="C61" s="4" t="s">
        <v>128</v>
      </c>
      <c r="D61" s="4" t="s">
        <v>128</v>
      </c>
      <c r="V61" t="str">
        <f>IF(NOT(ISBLANK(T61)), IF(T61&gt;=AVERAGE($T$2:$T$124), 1, 0), IF(NOT(ISBLANK(U61)), IF(U61&gt;=AVERAGE($U$2:$U$124), 1, 0), "geen data"))</f>
        <v>geen data</v>
      </c>
      <c r="X61" s="4" t="str">
        <f>IF(ISBLANK(W61), "geen data", IF(W61&lt;=AVERAGE($W$2:$W$124), 1, 0))</f>
        <v>geen data</v>
      </c>
      <c r="Z61" s="4" t="str">
        <f>IF(ISBLANK(Y61), "geen data", IF(Y61&lt;=AVERAGE($Y$2:$Y$124), 1, 0))</f>
        <v>geen data</v>
      </c>
      <c r="AF61" s="4" t="s">
        <v>18</v>
      </c>
      <c r="AI61" s="22"/>
      <c r="AJ61" s="22"/>
      <c r="AK61" s="22"/>
      <c r="AL61" s="22"/>
      <c r="AM61" s="22"/>
      <c r="AN61" s="22"/>
      <c r="AO61" s="22"/>
      <c r="AP61" s="22"/>
      <c r="AQ61" s="22"/>
      <c r="AR61" s="22"/>
      <c r="AS61" s="22"/>
      <c r="AT61" s="22"/>
      <c r="AU61" s="22"/>
      <c r="AV61" s="22"/>
      <c r="AW61" s="22"/>
      <c r="AX61" s="22"/>
      <c r="AY61" s="22"/>
      <c r="AZ61" s="22"/>
      <c r="BA61" s="22"/>
    </row>
    <row r="62" spans="1:53" s="5" customFormat="1" x14ac:dyDescent="0.25">
      <c r="A62" s="5" t="s">
        <v>129</v>
      </c>
      <c r="B62" s="5">
        <v>0</v>
      </c>
      <c r="C62" s="5" t="s">
        <v>129</v>
      </c>
      <c r="D62" s="5" t="s">
        <v>129</v>
      </c>
      <c r="F62" t="s">
        <v>634</v>
      </c>
      <c r="H62" s="5" t="s">
        <v>661</v>
      </c>
      <c r="I62" s="5">
        <v>1</v>
      </c>
      <c r="J62" t="s">
        <v>25</v>
      </c>
      <c r="K62"/>
      <c r="L62"/>
      <c r="M62" s="5" t="s">
        <v>39</v>
      </c>
      <c r="O62" s="5" t="s">
        <v>35</v>
      </c>
      <c r="V62" t="str">
        <f>IF(NOT(ISBLANK(T62)), IF(T62&gt;=AVERAGE($T$2:$T$124), 1, 0), IF(NOT(ISBLANK(U62)), IF(U62&gt;=AVERAGE($U$2:$U$124), 1, 0), "geen data"))</f>
        <v>geen data</v>
      </c>
      <c r="X62" s="4" t="str">
        <f>IF(ISBLANK(W62), "geen data", IF(W62&lt;=AVERAGE($W$2:$W$124), 1, 0))</f>
        <v>geen data</v>
      </c>
      <c r="Z62" s="4" t="str">
        <f>IF(ISBLANK(Y62), "geen data", IF(Y62&lt;=AVERAGE($Y$2:$Y$124), 1, 0))</f>
        <v>geen data</v>
      </c>
      <c r="AB62" s="5" t="s">
        <v>60</v>
      </c>
      <c r="AE62" s="19" t="s">
        <v>130</v>
      </c>
      <c r="AF62" s="5" t="s">
        <v>131</v>
      </c>
      <c r="AI62" s="28"/>
      <c r="AJ62" s="28"/>
      <c r="AK62" s="28"/>
      <c r="AL62" s="28"/>
      <c r="AM62" s="28"/>
      <c r="AN62" s="28"/>
      <c r="AO62" s="28"/>
      <c r="AP62" s="28"/>
      <c r="AQ62" s="28"/>
      <c r="AR62" s="28"/>
      <c r="AS62" s="28"/>
      <c r="AT62" s="28"/>
      <c r="AU62" s="28"/>
      <c r="AV62" s="28"/>
      <c r="AW62" s="28"/>
      <c r="AX62" s="28"/>
      <c r="AY62" s="28"/>
      <c r="AZ62" s="28"/>
      <c r="BA62" s="28"/>
    </row>
    <row r="63" spans="1:53" x14ac:dyDescent="0.25">
      <c r="A63" t="s">
        <v>132</v>
      </c>
      <c r="B63" s="4">
        <v>0</v>
      </c>
      <c r="C63" t="s">
        <v>132</v>
      </c>
      <c r="D63" t="s">
        <v>132</v>
      </c>
      <c r="E63" t="s">
        <v>637</v>
      </c>
      <c r="F63" t="s">
        <v>636</v>
      </c>
      <c r="H63" t="s">
        <v>8</v>
      </c>
      <c r="I63">
        <v>1</v>
      </c>
      <c r="J63" t="s">
        <v>25</v>
      </c>
      <c r="M63" t="s">
        <v>39</v>
      </c>
      <c r="O63" t="s">
        <v>35</v>
      </c>
      <c r="V63" t="str">
        <f>IF(NOT(ISBLANK(T63)), IF(T63&gt;=AVERAGE($T$2:$T$124), 1, 0), IF(NOT(ISBLANK(U63)), IF(U63&gt;=AVERAGE($U$2:$U$124), 1, 0), "geen data"))</f>
        <v>geen data</v>
      </c>
      <c r="X63" s="4" t="str">
        <f>IF(ISBLANK(W63), "geen data", IF(W63&lt;=AVERAGE($W$2:$W$124), 1, 0))</f>
        <v>geen data</v>
      </c>
      <c r="Y63">
        <v>1.5</v>
      </c>
      <c r="Z63" s="4">
        <f>IF(ISBLANK(Y63), "geen data", IF(Y63&lt;=AVERAGE($Y$2:$Y$124), 1, 0))</f>
        <v>0</v>
      </c>
      <c r="AB63" t="s">
        <v>60</v>
      </c>
      <c r="AE63" s="6" t="s">
        <v>133</v>
      </c>
      <c r="AF63" t="s">
        <v>134</v>
      </c>
    </row>
    <row r="64" spans="1:53" x14ac:dyDescent="0.25">
      <c r="A64" t="s">
        <v>132</v>
      </c>
      <c r="B64" t="s">
        <v>618</v>
      </c>
      <c r="C64" t="s">
        <v>132</v>
      </c>
      <c r="D64" t="s">
        <v>296</v>
      </c>
      <c r="F64" t="s">
        <v>635</v>
      </c>
      <c r="H64" t="s">
        <v>660</v>
      </c>
      <c r="I64">
        <v>1</v>
      </c>
    </row>
    <row r="65" spans="1:56" x14ac:dyDescent="0.25">
      <c r="A65" t="s">
        <v>135</v>
      </c>
      <c r="B65" s="4">
        <v>1</v>
      </c>
      <c r="C65" t="s">
        <v>135</v>
      </c>
      <c r="D65" t="s">
        <v>135</v>
      </c>
      <c r="J65" t="s">
        <v>25</v>
      </c>
      <c r="M65" t="s">
        <v>22</v>
      </c>
      <c r="X65" s="4"/>
      <c r="Z65" s="4"/>
      <c r="AE65" s="6" t="s">
        <v>136</v>
      </c>
      <c r="AF65" t="s">
        <v>137</v>
      </c>
    </row>
    <row r="66" spans="1:56" ht="15" customHeight="1" x14ac:dyDescent="0.25">
      <c r="A66" s="2" t="s">
        <v>138</v>
      </c>
      <c r="B66" s="4">
        <v>1</v>
      </c>
      <c r="C66" s="4" t="s">
        <v>135</v>
      </c>
      <c r="D66" s="2" t="s">
        <v>138</v>
      </c>
      <c r="E66" s="2"/>
      <c r="G66" s="2"/>
      <c r="H66" t="s">
        <v>661</v>
      </c>
      <c r="I66" s="2"/>
      <c r="J66" t="s">
        <v>25</v>
      </c>
      <c r="M66" s="2" t="s">
        <v>26</v>
      </c>
      <c r="O66" t="s">
        <v>35</v>
      </c>
      <c r="T66">
        <v>4</v>
      </c>
      <c r="V66">
        <f>IF(NOT(ISBLANK(T66)), IF(T66&gt;=AVERAGE($T$2:$T$124), 1, 0), IF(NOT(ISBLANK(U66)), IF(U66&gt;=AVERAGE($U$2:$U$124), 1, 0), "geen data"))</f>
        <v>0</v>
      </c>
      <c r="W66">
        <v>0.3</v>
      </c>
      <c r="X66" s="4">
        <f>IF(ISBLANK(W66), "geen data", IF(W66&lt;=AVERAGE($W$2:$W$124), 1, 0))</f>
        <v>0</v>
      </c>
      <c r="Y66">
        <v>0.08</v>
      </c>
      <c r="Z66" s="4">
        <f>IF(ISBLANK(Y66), "geen data", IF(Y66&lt;=AVERAGE($Y$2:$Y$124), 1, 0))</f>
        <v>1</v>
      </c>
      <c r="AB66">
        <v>2023</v>
      </c>
      <c r="AE66" s="6" t="s">
        <v>139</v>
      </c>
      <c r="AF66" s="13" t="s">
        <v>140</v>
      </c>
    </row>
    <row r="67" spans="1:56" ht="15.75" customHeight="1" x14ac:dyDescent="0.25">
      <c r="A67" s="2" t="s">
        <v>141</v>
      </c>
      <c r="B67" s="4">
        <v>1</v>
      </c>
      <c r="C67" s="4" t="s">
        <v>135</v>
      </c>
      <c r="D67" s="2" t="s">
        <v>141</v>
      </c>
      <c r="E67" s="2"/>
      <c r="G67" s="2"/>
      <c r="H67" t="s">
        <v>661</v>
      </c>
      <c r="I67" s="2"/>
      <c r="J67" t="s">
        <v>25</v>
      </c>
      <c r="M67" s="2" t="s">
        <v>26</v>
      </c>
      <c r="O67" t="s">
        <v>35</v>
      </c>
      <c r="V67" t="str">
        <f>IF(NOT(ISBLANK(T67)), IF(T67&gt;=AVERAGE($T$2:$T$124), 1, 0), IF(NOT(ISBLANK(U67)), IF(U67&gt;=AVERAGE($U$2:$U$124), 1, 0), "geen data"))</f>
        <v>geen data</v>
      </c>
      <c r="X67" s="4" t="str">
        <f>IF(ISBLANK(W67), "geen data", IF(W67&lt;=AVERAGE($W$2:$W$124), 1, 0))</f>
        <v>geen data</v>
      </c>
      <c r="Z67" s="4" t="str">
        <f>IF(ISBLANK(Y67), "geen data", IF(Y67&lt;=AVERAGE($Y$2:$Y$124), 1, 0))</f>
        <v>geen data</v>
      </c>
      <c r="AB67">
        <v>2014</v>
      </c>
      <c r="AE67" t="s">
        <v>142</v>
      </c>
      <c r="AF67" s="13" t="s">
        <v>37</v>
      </c>
    </row>
    <row r="68" spans="1:56" ht="21" customHeight="1" x14ac:dyDescent="0.25">
      <c r="A68" s="2" t="s">
        <v>143</v>
      </c>
      <c r="B68" s="4">
        <v>1</v>
      </c>
      <c r="C68" s="4" t="s">
        <v>135</v>
      </c>
      <c r="D68" s="2" t="s">
        <v>143</v>
      </c>
      <c r="E68" s="2"/>
      <c r="G68" s="2"/>
      <c r="H68" t="s">
        <v>661</v>
      </c>
      <c r="I68" s="2"/>
      <c r="J68" t="s">
        <v>25</v>
      </c>
      <c r="M68" s="2" t="s">
        <v>39</v>
      </c>
      <c r="O68" t="s">
        <v>35</v>
      </c>
      <c r="V68" t="str">
        <f>IF(NOT(ISBLANK(T68)), IF(T68&gt;=AVERAGE($T$2:$T$124), 1, 0), IF(NOT(ISBLANK(U68)), IF(U68&gt;=AVERAGE($U$2:$U$124), 1, 0), "geen data"))</f>
        <v>geen data</v>
      </c>
      <c r="X68" s="4" t="str">
        <f>IF(ISBLANK(W68), "geen data", IF(W68&lt;=AVERAGE($W$2:$W$124), 1, 0))</f>
        <v>geen data</v>
      </c>
      <c r="Z68" s="4" t="str">
        <f>IF(ISBLANK(Y68), "geen data", IF(Y68&lt;=AVERAGE($Y$2:$Y$124), 1, 0))</f>
        <v>geen data</v>
      </c>
      <c r="AB68">
        <v>2013</v>
      </c>
      <c r="AE68" t="s">
        <v>144</v>
      </c>
      <c r="AF68" s="13" t="s">
        <v>37</v>
      </c>
    </row>
    <row r="69" spans="1:56" s="4" customFormat="1" x14ac:dyDescent="0.25">
      <c r="A69" s="4" t="s">
        <v>135</v>
      </c>
      <c r="B69" s="4">
        <v>0</v>
      </c>
      <c r="C69" s="4" t="s">
        <v>135</v>
      </c>
      <c r="D69" s="4" t="s">
        <v>135</v>
      </c>
      <c r="J69" t="s">
        <v>25</v>
      </c>
      <c r="K69"/>
      <c r="L69"/>
      <c r="M69" t="s">
        <v>22</v>
      </c>
      <c r="V69" t="str">
        <f>IF(NOT(ISBLANK(T69)), IF(T69&gt;=AVERAGE($T$2:$T$124), 1, 0), IF(NOT(ISBLANK(U69)), IF(U69&gt;=AVERAGE($U$2:$U$124), 1, 0), "geen data"))</f>
        <v>geen data</v>
      </c>
      <c r="X69" s="4" t="str">
        <f>IF(ISBLANK(W69), "geen data", IF(W69&lt;=AVERAGE($W$2:$W$124), 1, 0))</f>
        <v>geen data</v>
      </c>
      <c r="Z69" s="4" t="str">
        <f>IF(ISBLANK(Y69), "geen data", IF(Y69&lt;=AVERAGE($Y$2:$Y$124), 1, 0))</f>
        <v>geen data</v>
      </c>
      <c r="AE69" s="20" t="s">
        <v>136</v>
      </c>
      <c r="AF69" s="4" t="s">
        <v>145</v>
      </c>
      <c r="AI69" s="22"/>
      <c r="AJ69" s="22"/>
      <c r="AK69" s="22"/>
      <c r="AL69" s="22"/>
      <c r="AM69" s="22"/>
      <c r="AN69" s="22"/>
      <c r="AO69" s="22"/>
      <c r="AP69" s="22"/>
      <c r="AQ69" s="22"/>
      <c r="AR69" s="22"/>
      <c r="AS69" s="22"/>
      <c r="AT69" s="22"/>
      <c r="AU69" s="22"/>
      <c r="AV69" s="22"/>
      <c r="AW69" s="22"/>
      <c r="AX69" s="22"/>
      <c r="AY69" s="22"/>
      <c r="AZ69" s="22"/>
      <c r="BA69" s="22"/>
    </row>
    <row r="70" spans="1:56" s="4" customFormat="1" x14ac:dyDescent="0.25">
      <c r="A70" s="4" t="s">
        <v>146</v>
      </c>
      <c r="B70" s="4">
        <v>0</v>
      </c>
      <c r="C70" s="4" t="s">
        <v>146</v>
      </c>
      <c r="D70" s="4" t="s">
        <v>146</v>
      </c>
      <c r="V70" t="str">
        <f>IF(NOT(ISBLANK(T70)), IF(T70&gt;=AVERAGE($T$2:$T$124), 1, 0), IF(NOT(ISBLANK(U70)), IF(U70&gt;=AVERAGE($U$2:$U$124), 1, 0), "geen data"))</f>
        <v>geen data</v>
      </c>
      <c r="X70" s="4" t="str">
        <f>IF(ISBLANK(W70), "geen data", IF(W70&lt;=AVERAGE($W$2:$W$124), 1, 0))</f>
        <v>geen data</v>
      </c>
      <c r="Z70" s="4" t="str">
        <f>IF(ISBLANK(Y70), "geen data", IF(Y70&lt;=AVERAGE($Y$2:$Y$124), 1, 0))</f>
        <v>geen data</v>
      </c>
      <c r="AF70" s="4" t="s">
        <v>18</v>
      </c>
      <c r="AI70" s="22"/>
      <c r="AJ70" s="22"/>
      <c r="AK70" s="22"/>
      <c r="AL70" s="22"/>
      <c r="AM70" s="22"/>
      <c r="AN70" s="22"/>
      <c r="AO70" s="22"/>
      <c r="AP70" s="22"/>
      <c r="AQ70" s="22"/>
      <c r="AR70" s="22"/>
      <c r="AS70" s="22"/>
      <c r="AT70" s="22"/>
      <c r="AU70" s="22"/>
      <c r="AV70" s="22"/>
      <c r="AW70" s="22"/>
      <c r="AX70" s="22"/>
      <c r="AY70" s="22"/>
      <c r="AZ70" s="22"/>
      <c r="BA70" s="22"/>
    </row>
    <row r="71" spans="1:56" x14ac:dyDescent="0.25">
      <c r="A71" t="s">
        <v>147</v>
      </c>
      <c r="B71" s="4">
        <v>0</v>
      </c>
      <c r="C71" t="s">
        <v>147</v>
      </c>
      <c r="D71" t="s">
        <v>147</v>
      </c>
      <c r="F71" t="s">
        <v>638</v>
      </c>
      <c r="H71" t="s">
        <v>8</v>
      </c>
      <c r="I71">
        <v>1</v>
      </c>
      <c r="J71" t="s">
        <v>25</v>
      </c>
      <c r="K71" t="s">
        <v>148</v>
      </c>
      <c r="L71" t="s">
        <v>149</v>
      </c>
      <c r="M71" s="2" t="s">
        <v>26</v>
      </c>
      <c r="O71" t="s">
        <v>35</v>
      </c>
      <c r="T71">
        <v>4</v>
      </c>
      <c r="V71">
        <f>IF(NOT(ISBLANK(T71)), IF(T71&gt;=AVERAGE($T$2:$T$124), 1, 0), IF(NOT(ISBLANK(U71)), IF(U71&gt;=AVERAGE($U$2:$U$124), 1, 0), "geen data"))</f>
        <v>0</v>
      </c>
      <c r="W71">
        <v>0.36</v>
      </c>
      <c r="X71" s="4">
        <f>IF(ISBLANK(W71), "geen data", IF(W71&lt;=AVERAGE($W$2:$W$124), 1, 0))</f>
        <v>0</v>
      </c>
      <c r="Y71">
        <v>0.12</v>
      </c>
      <c r="Z71" s="4">
        <f>IF(ISBLANK(Y71), "geen data", IF(Y71&lt;=AVERAGE($Y$2:$Y$124), 1, 0))</f>
        <v>1</v>
      </c>
      <c r="AB71">
        <v>2019</v>
      </c>
      <c r="AE71" t="s">
        <v>150</v>
      </c>
      <c r="AF71" t="s">
        <v>151</v>
      </c>
      <c r="AG71" s="2"/>
      <c r="AH71" s="2"/>
      <c r="AJ71" s="27" t="s">
        <v>279</v>
      </c>
      <c r="AK71" s="27" t="s">
        <v>284</v>
      </c>
      <c r="AM71" t="s">
        <v>286</v>
      </c>
      <c r="AO71" t="s">
        <v>283</v>
      </c>
      <c r="AT71" s="27"/>
      <c r="AV71" t="s">
        <v>287</v>
      </c>
    </row>
    <row r="72" spans="1:56" x14ac:dyDescent="0.25">
      <c r="A72" t="s">
        <v>152</v>
      </c>
      <c r="B72" s="4" t="s">
        <v>618</v>
      </c>
      <c r="C72" t="s">
        <v>152</v>
      </c>
      <c r="D72" t="s">
        <v>152</v>
      </c>
      <c r="F72" t="s">
        <v>639</v>
      </c>
      <c r="H72" t="s">
        <v>660</v>
      </c>
      <c r="I72">
        <v>1</v>
      </c>
      <c r="J72" t="s">
        <v>25</v>
      </c>
      <c r="K72" t="s">
        <v>148</v>
      </c>
      <c r="L72" t="s">
        <v>149</v>
      </c>
      <c r="M72" s="2" t="s">
        <v>26</v>
      </c>
      <c r="O72" t="s">
        <v>35</v>
      </c>
      <c r="T72">
        <v>200</v>
      </c>
      <c r="V72">
        <f>IF(NOT(ISBLANK(T72)), IF(T72&gt;=AVERAGE($T$2:$T$124), 1, 0), IF(NOT(ISBLANK(U72)), IF(U72&gt;=AVERAGE($U$2:$U$124), 1, 0), "geen data"))</f>
        <v>1</v>
      </c>
      <c r="X72" s="4" t="str">
        <f>IF(ISBLANK(W72), "geen data", IF(W72&lt;=AVERAGE($W$2:$W$124), 1, 0))</f>
        <v>geen data</v>
      </c>
      <c r="AB72">
        <v>2022</v>
      </c>
      <c r="AE72" t="s">
        <v>153</v>
      </c>
      <c r="AF72" t="s">
        <v>154</v>
      </c>
    </row>
    <row r="73" spans="1:56" x14ac:dyDescent="0.25">
      <c r="A73" t="s">
        <v>155</v>
      </c>
      <c r="B73" s="4">
        <v>0</v>
      </c>
      <c r="C73" t="s">
        <v>155</v>
      </c>
      <c r="D73" t="s">
        <v>155</v>
      </c>
      <c r="F73" t="s">
        <v>640</v>
      </c>
      <c r="H73" t="s">
        <v>661</v>
      </c>
      <c r="I73">
        <v>1</v>
      </c>
      <c r="J73" t="s">
        <v>25</v>
      </c>
      <c r="M73" s="2" t="s">
        <v>26</v>
      </c>
      <c r="O73" t="s">
        <v>35</v>
      </c>
      <c r="T73">
        <v>10</v>
      </c>
      <c r="V73">
        <f>IF(NOT(ISBLANK(T73)), IF(T73&gt;=AVERAGE($T$2:$T$124), 1, 0), IF(NOT(ISBLANK(U73)), IF(U73&gt;=AVERAGE($U$2:$U$124), 1, 0), "geen data"))</f>
        <v>1</v>
      </c>
      <c r="W73">
        <v>0.2</v>
      </c>
      <c r="X73" s="4">
        <f>IF(ISBLANK(W73), "geen data", IF(W73&lt;=AVERAGE($W$2:$W$124), 1, 0))</f>
        <v>1</v>
      </c>
      <c r="Y73">
        <v>0.1</v>
      </c>
      <c r="Z73" s="4">
        <f>IF(ISBLANK(Y73), "geen data", IF(Y73&lt;=AVERAGE($Y$2:$Y$124), 1, 0))</f>
        <v>1</v>
      </c>
      <c r="AB73">
        <v>2024</v>
      </c>
      <c r="AF73" t="s">
        <v>156</v>
      </c>
      <c r="AI73" t="s">
        <v>589</v>
      </c>
      <c r="AJ73" t="s">
        <v>279</v>
      </c>
      <c r="AK73" t="s">
        <v>284</v>
      </c>
      <c r="AO73" t="s">
        <v>280</v>
      </c>
      <c r="AQ73" t="s">
        <v>274</v>
      </c>
      <c r="AX73" t="s">
        <v>573</v>
      </c>
    </row>
    <row r="74" spans="1:56" x14ac:dyDescent="0.25">
      <c r="A74" t="s">
        <v>157</v>
      </c>
      <c r="B74" s="4">
        <v>0</v>
      </c>
      <c r="C74" t="s">
        <v>157</v>
      </c>
      <c r="D74" t="s">
        <v>157</v>
      </c>
      <c r="F74" t="s">
        <v>641</v>
      </c>
      <c r="H74" t="s">
        <v>8</v>
      </c>
      <c r="I74">
        <v>1</v>
      </c>
      <c r="J74" t="s">
        <v>25</v>
      </c>
      <c r="K74" t="s">
        <v>158</v>
      </c>
      <c r="L74" t="s">
        <v>158</v>
      </c>
      <c r="M74" s="2" t="s">
        <v>26</v>
      </c>
      <c r="O74" t="s">
        <v>35</v>
      </c>
      <c r="T74">
        <v>4</v>
      </c>
      <c r="U74">
        <v>14</v>
      </c>
      <c r="V74">
        <f>IF(NOT(ISBLANK(T74)), IF(T74&gt;=AVERAGE($T$2:$T$124), 1, 0), IF(NOT(ISBLANK(U74)), IF(U74&gt;=AVERAGE($U$2:$U$124), 1, 0), "geen data"))</f>
        <v>0</v>
      </c>
      <c r="W74">
        <v>0.36</v>
      </c>
      <c r="X74" s="4">
        <f>IF(ISBLANK(W74), "geen data", IF(W74&lt;=AVERAGE($W$2:$W$124), 1, 0))</f>
        <v>0</v>
      </c>
      <c r="Y74">
        <v>0.12</v>
      </c>
      <c r="Z74" s="4">
        <f>IF(ISBLANK(Y74), "geen data", IF(Y74&lt;=AVERAGE($Y$2:$Y$124), 1, 0))</f>
        <v>1</v>
      </c>
      <c r="AB74">
        <v>2022</v>
      </c>
      <c r="AE74" s="8" t="s">
        <v>159</v>
      </c>
      <c r="AF74" s="2" t="s">
        <v>160</v>
      </c>
      <c r="AG74" s="2"/>
      <c r="AH74" s="2"/>
      <c r="AI74" s="27" t="s">
        <v>282</v>
      </c>
      <c r="AJ74" s="27" t="s">
        <v>279</v>
      </c>
      <c r="AK74" s="27" t="s">
        <v>284</v>
      </c>
      <c r="AL74" s="27" t="s">
        <v>285</v>
      </c>
      <c r="AM74" t="s">
        <v>286</v>
      </c>
      <c r="AO74" t="s">
        <v>280</v>
      </c>
      <c r="AP74" t="s">
        <v>278</v>
      </c>
      <c r="AQ74" s="27"/>
      <c r="BA74" t="s">
        <v>590</v>
      </c>
    </row>
    <row r="75" spans="1:56" x14ac:dyDescent="0.25">
      <c r="A75" t="s">
        <v>161</v>
      </c>
      <c r="B75" s="4">
        <v>0</v>
      </c>
      <c r="C75" t="s">
        <v>161</v>
      </c>
      <c r="D75" t="s">
        <v>161</v>
      </c>
      <c r="F75" t="s">
        <v>642</v>
      </c>
      <c r="H75" t="s">
        <v>8</v>
      </c>
      <c r="I75">
        <v>1</v>
      </c>
      <c r="J75" t="s">
        <v>25</v>
      </c>
      <c r="K75" t="s">
        <v>162</v>
      </c>
      <c r="M75" s="2" t="s">
        <v>26</v>
      </c>
      <c r="O75" t="s">
        <v>35</v>
      </c>
      <c r="T75">
        <v>15</v>
      </c>
      <c r="V75">
        <f>IF(NOT(ISBLANK(T75)), IF(T75&gt;=AVERAGE($T$2:$T$124), 1, 0), IF(NOT(ISBLANK(U75)), IF(U75&gt;=AVERAGE($U$2:$U$124), 1, 0), "geen data"))</f>
        <v>1</v>
      </c>
      <c r="W75">
        <v>0.03</v>
      </c>
      <c r="X75" s="4">
        <f>IF(ISBLANK(W75), "geen data", IF(W75&lt;=AVERAGE($W$2:$W$124), 1, 0))</f>
        <v>1</v>
      </c>
      <c r="Y75">
        <v>0.06</v>
      </c>
      <c r="Z75" s="4">
        <f>IF(ISBLANK(Y75), "geen data", IF(Y75&lt;=AVERAGE($Y$2:$Y$124), 1, 0))</f>
        <v>1</v>
      </c>
      <c r="AB75">
        <v>2024</v>
      </c>
      <c r="AE75" t="s">
        <v>163</v>
      </c>
      <c r="AF75" s="2" t="s">
        <v>164</v>
      </c>
      <c r="AG75" s="2"/>
      <c r="AH75" s="2"/>
      <c r="AI75" s="27" t="s">
        <v>282</v>
      </c>
      <c r="AJ75" s="27" t="s">
        <v>279</v>
      </c>
      <c r="AK75" s="27" t="s">
        <v>284</v>
      </c>
      <c r="AL75" s="27" t="s">
        <v>285</v>
      </c>
      <c r="AM75" t="s">
        <v>286</v>
      </c>
      <c r="AN75" s="27"/>
      <c r="AO75" t="s">
        <v>283</v>
      </c>
      <c r="AP75" t="s">
        <v>575</v>
      </c>
      <c r="AQ75" t="s">
        <v>274</v>
      </c>
      <c r="AR75" s="27"/>
      <c r="AT75" s="27" t="s">
        <v>291</v>
      </c>
      <c r="AU75" t="s">
        <v>292</v>
      </c>
      <c r="AV75" t="s">
        <v>293</v>
      </c>
    </row>
    <row r="76" spans="1:56" x14ac:dyDescent="0.25">
      <c r="A76" t="s">
        <v>165</v>
      </c>
      <c r="B76" s="4">
        <v>0</v>
      </c>
      <c r="C76" t="s">
        <v>165</v>
      </c>
      <c r="D76" t="s">
        <v>165</v>
      </c>
      <c r="F76" t="s">
        <v>643</v>
      </c>
      <c r="H76" t="s">
        <v>8</v>
      </c>
      <c r="I76">
        <v>1</v>
      </c>
      <c r="J76" t="s">
        <v>25</v>
      </c>
      <c r="K76" t="s">
        <v>166</v>
      </c>
      <c r="M76" s="2" t="s">
        <v>26</v>
      </c>
      <c r="O76" t="s">
        <v>35</v>
      </c>
      <c r="U76">
        <v>40</v>
      </c>
      <c r="V76">
        <f>IF(NOT(ISBLANK(T76)), IF(T76&gt;=AVERAGE($T$2:$T$124), 1, 0), IF(NOT(ISBLANK(U76)), IF(U76&gt;=AVERAGE($U$2:$U$124), 1, 0), "geen data"))</f>
        <v>1</v>
      </c>
      <c r="X76" s="4" t="str">
        <f>IF(ISBLANK(W76), "geen data", IF(W76&lt;=AVERAGE($W$2:$W$124), 1, 0))</f>
        <v>geen data</v>
      </c>
      <c r="Y76">
        <v>0.11600000000000001</v>
      </c>
      <c r="Z76" s="4">
        <f>IF(ISBLANK(Y76), "geen data", IF(Y76&lt;=AVERAGE($Y$2:$Y$124), 1, 0))</f>
        <v>1</v>
      </c>
      <c r="AB76">
        <v>2018</v>
      </c>
      <c r="AE76" t="s">
        <v>167</v>
      </c>
      <c r="AF76" s="2" t="s">
        <v>168</v>
      </c>
      <c r="AG76" s="2"/>
      <c r="AH76" s="2"/>
      <c r="AI76" s="27" t="s">
        <v>282</v>
      </c>
      <c r="AJ76" s="27" t="s">
        <v>279</v>
      </c>
      <c r="AK76" s="27" t="s">
        <v>284</v>
      </c>
      <c r="AL76" s="27" t="s">
        <v>285</v>
      </c>
      <c r="AM76" t="s">
        <v>286</v>
      </c>
      <c r="AN76" s="27"/>
      <c r="AO76" t="s">
        <v>283</v>
      </c>
      <c r="AP76" t="s">
        <v>278</v>
      </c>
      <c r="AQ76" t="s">
        <v>274</v>
      </c>
    </row>
    <row r="77" spans="1:56" s="4" customFormat="1" x14ac:dyDescent="0.25">
      <c r="A77" s="4" t="s">
        <v>169</v>
      </c>
      <c r="B77" s="4">
        <v>0</v>
      </c>
      <c r="C77" s="4" t="s">
        <v>169</v>
      </c>
      <c r="D77" s="4" t="s">
        <v>169</v>
      </c>
      <c r="V77" t="str">
        <f>IF(NOT(ISBLANK(T77)), IF(T77&gt;=AVERAGE($T$2:$T$124), 1, 0), IF(NOT(ISBLANK(U77)), IF(U77&gt;=AVERAGE($U$2:$U$124), 1, 0), "geen data"))</f>
        <v>geen data</v>
      </c>
      <c r="X77" s="4" t="str">
        <f>IF(ISBLANK(W77), "geen data", IF(W77&lt;=AVERAGE($W$2:$W$124), 1, 0))</f>
        <v>geen data</v>
      </c>
      <c r="Z77" s="4" t="str">
        <f>IF(ISBLANK(Y77), "geen data", IF(Y77&lt;=AVERAGE($Y$2:$Y$124), 1, 0))</f>
        <v>geen data</v>
      </c>
      <c r="AF77" s="4" t="s">
        <v>18</v>
      </c>
      <c r="AI77" s="22"/>
      <c r="AJ77" s="22"/>
      <c r="AK77" s="22"/>
      <c r="AL77" s="22"/>
      <c r="AM77" s="22"/>
      <c r="AN77" s="22"/>
      <c r="AO77" s="22"/>
      <c r="AP77" s="22"/>
      <c r="AQ77" s="22"/>
      <c r="AR77" s="22"/>
      <c r="AS77" s="22"/>
      <c r="AT77" s="22"/>
      <c r="AU77" s="22"/>
      <c r="AV77" s="22"/>
      <c r="AW77" s="22"/>
      <c r="AX77" s="22"/>
      <c r="AY77" s="22"/>
      <c r="AZ77" s="22"/>
      <c r="BA77" s="22"/>
    </row>
    <row r="78" spans="1:56" s="4" customFormat="1" x14ac:dyDescent="0.25">
      <c r="A78" s="4" t="s">
        <v>170</v>
      </c>
      <c r="B78" s="4">
        <v>0</v>
      </c>
      <c r="C78" s="4" t="s">
        <v>170</v>
      </c>
      <c r="D78" s="4" t="s">
        <v>170</v>
      </c>
      <c r="V78" t="str">
        <f>IF(NOT(ISBLANK(T78)), IF(T78&gt;=AVERAGE($T$2:$T$124), 1, 0), IF(NOT(ISBLANK(U78)), IF(U78&gt;=AVERAGE($U$2:$U$124), 1, 0), "geen data"))</f>
        <v>geen data</v>
      </c>
      <c r="X78" s="4" t="str">
        <f>IF(ISBLANK(W78), "geen data", IF(W78&lt;=AVERAGE($W$2:$W$124), 1, 0))</f>
        <v>geen data</v>
      </c>
      <c r="Z78" s="4" t="str">
        <f>IF(ISBLANK(Y78), "geen data", IF(Y78&lt;=AVERAGE($Y$2:$Y$124), 1, 0))</f>
        <v>geen data</v>
      </c>
      <c r="AF78" s="4" t="s">
        <v>18</v>
      </c>
      <c r="AI78" s="22"/>
      <c r="AJ78" s="22"/>
      <c r="AK78" s="22"/>
      <c r="AL78" s="22"/>
      <c r="AM78" s="22"/>
      <c r="AN78" s="22"/>
      <c r="AO78" s="22"/>
      <c r="AP78" s="22"/>
      <c r="AQ78" s="22"/>
      <c r="AR78" s="22"/>
      <c r="AS78" s="22"/>
      <c r="AT78" s="22"/>
      <c r="AU78" s="22"/>
      <c r="AV78" s="22"/>
      <c r="AW78" s="22"/>
      <c r="AX78" s="22"/>
      <c r="AY78" s="22"/>
      <c r="AZ78" s="22"/>
      <c r="BA78" s="22"/>
    </row>
    <row r="79" spans="1:56" s="4" customFormat="1" x14ac:dyDescent="0.25">
      <c r="A79" s="4" t="s">
        <v>171</v>
      </c>
      <c r="B79" s="4">
        <v>0</v>
      </c>
      <c r="C79" s="4" t="s">
        <v>171</v>
      </c>
      <c r="D79" s="4" t="s">
        <v>171</v>
      </c>
      <c r="V79" t="str">
        <f>IF(NOT(ISBLANK(T79)), IF(T79&gt;=AVERAGE($T$2:$T$124), 1, 0), IF(NOT(ISBLANK(U79)), IF(U79&gt;=AVERAGE($U$2:$U$124), 1, 0), "geen data"))</f>
        <v>geen data</v>
      </c>
      <c r="X79" s="4" t="str">
        <f>IF(ISBLANK(W79), "geen data", IF(W79&lt;=AVERAGE($W$2:$W$124), 1, 0))</f>
        <v>geen data</v>
      </c>
      <c r="Z79" s="4" t="str">
        <f>IF(ISBLANK(Y79), "geen data", IF(Y79&lt;=AVERAGE($Y$2:$Y$124), 1, 0))</f>
        <v>geen data</v>
      </c>
      <c r="AF79" s="4" t="s">
        <v>18</v>
      </c>
      <c r="AI79" s="22"/>
      <c r="AJ79" s="22"/>
      <c r="AK79" s="22"/>
      <c r="AL79" s="22"/>
      <c r="AM79" s="22"/>
      <c r="AN79" s="22"/>
      <c r="AO79" s="22"/>
      <c r="AP79" s="22"/>
      <c r="AQ79" s="22"/>
      <c r="AR79" s="22"/>
      <c r="AS79" s="22"/>
      <c r="AT79" s="22"/>
      <c r="AU79" s="22"/>
      <c r="AV79" s="22"/>
      <c r="AW79" s="22"/>
      <c r="AX79" s="22"/>
      <c r="AY79" s="22"/>
      <c r="AZ79" s="22"/>
      <c r="BA79" s="22"/>
    </row>
    <row r="80" spans="1:56" ht="16.5" customHeight="1" x14ac:dyDescent="0.25">
      <c r="A80" t="s">
        <v>172</v>
      </c>
      <c r="B80" s="4">
        <v>0</v>
      </c>
      <c r="C80" t="s">
        <v>172</v>
      </c>
      <c r="D80" t="s">
        <v>172</v>
      </c>
      <c r="E80" t="s">
        <v>365</v>
      </c>
      <c r="F80" t="s">
        <v>373</v>
      </c>
      <c r="G80" t="s">
        <v>319</v>
      </c>
      <c r="H80" t="s">
        <v>8</v>
      </c>
      <c r="I80">
        <v>2</v>
      </c>
      <c r="J80" t="s">
        <v>3</v>
      </c>
      <c r="K80" t="s">
        <v>173</v>
      </c>
      <c r="L80" t="s">
        <v>173</v>
      </c>
      <c r="M80" t="s">
        <v>342</v>
      </c>
      <c r="N80" t="s">
        <v>742</v>
      </c>
      <c r="O80" t="s">
        <v>35</v>
      </c>
      <c r="P80">
        <v>1</v>
      </c>
      <c r="Q80">
        <v>1</v>
      </c>
      <c r="R80" t="s">
        <v>352</v>
      </c>
      <c r="S80" t="s">
        <v>352</v>
      </c>
      <c r="T80">
        <v>6</v>
      </c>
      <c r="U80">
        <v>10</v>
      </c>
      <c r="V80">
        <f>IF(NOT(ISBLANK(T80)), IF(T80&gt;=AVERAGE($T$2:$T$124), 1, 0), IF(NOT(ISBLANK(U80)), IF(U80&gt;=AVERAGE($U$2:$U$124), 1, 0), "geen data"))</f>
        <v>0</v>
      </c>
      <c r="W80">
        <v>0.13</v>
      </c>
      <c r="X80" s="4">
        <f>IF(ISBLANK(W80), "geen data", IF(W80&lt;=AVERAGE($W$2:$W$124), 1, 0))</f>
        <v>1</v>
      </c>
      <c r="Y80">
        <v>0.08</v>
      </c>
      <c r="Z80" s="4">
        <f>IF(ISBLANK(Y80), "geen data", IF(Y80&lt;=AVERAGE($Y$2:$Y$124), 1, 0))</f>
        <v>1</v>
      </c>
      <c r="AA80">
        <v>2008</v>
      </c>
      <c r="AB80">
        <v>2012</v>
      </c>
      <c r="AD80" t="s">
        <v>737</v>
      </c>
      <c r="AE80" t="s">
        <v>174</v>
      </c>
      <c r="AF80" s="15" t="s">
        <v>175</v>
      </c>
      <c r="AJ80" t="s">
        <v>591</v>
      </c>
      <c r="AK80" s="27"/>
      <c r="AO80" t="s">
        <v>283</v>
      </c>
      <c r="AQ80" t="s">
        <v>274</v>
      </c>
      <c r="AS80" s="27"/>
      <c r="AU80" t="s">
        <v>592</v>
      </c>
      <c r="BA80" t="s">
        <v>593</v>
      </c>
      <c r="BD80" s="27"/>
    </row>
    <row r="81" spans="1:58" ht="16.5" customHeight="1" x14ac:dyDescent="0.25">
      <c r="A81" t="s">
        <v>172</v>
      </c>
      <c r="B81" s="4">
        <v>0</v>
      </c>
      <c r="C81" t="s">
        <v>172</v>
      </c>
      <c r="D81" t="s">
        <v>172</v>
      </c>
      <c r="E81" t="s">
        <v>365</v>
      </c>
      <c r="F81" t="s">
        <v>374</v>
      </c>
      <c r="G81" t="s">
        <v>319</v>
      </c>
      <c r="H81" t="s">
        <v>8</v>
      </c>
      <c r="I81">
        <v>3</v>
      </c>
      <c r="J81" t="s">
        <v>3</v>
      </c>
      <c r="K81" t="s">
        <v>173</v>
      </c>
      <c r="L81" t="s">
        <v>173</v>
      </c>
      <c r="M81" t="s">
        <v>342</v>
      </c>
      <c r="N81" t="s">
        <v>742</v>
      </c>
      <c r="O81" t="s">
        <v>35</v>
      </c>
      <c r="P81">
        <v>1</v>
      </c>
      <c r="Q81">
        <v>1</v>
      </c>
      <c r="R81" t="s">
        <v>352</v>
      </c>
      <c r="S81" t="s">
        <v>352</v>
      </c>
      <c r="T81">
        <v>6</v>
      </c>
      <c r="U81">
        <v>10</v>
      </c>
      <c r="V81">
        <f>IF(NOT(ISBLANK(T81)), IF(T81&gt;=AVERAGE($T$2:$T$124), 1, 0), IF(NOT(ISBLANK(U81)), IF(U81&gt;=AVERAGE($U$2:$U$124), 1, 0), "geen data"))</f>
        <v>0</v>
      </c>
      <c r="W81">
        <v>0.13</v>
      </c>
      <c r="X81" s="4">
        <f>IF(ISBLANK(W81), "geen data", IF(W81&lt;=AVERAGE($W$2:$W$124), 1, 0))</f>
        <v>1</v>
      </c>
      <c r="Y81">
        <v>0.08</v>
      </c>
      <c r="Z81" s="4">
        <f>IF(ISBLANK(Y81), "geen data", IF(Y81&lt;=AVERAGE($Y$2:$Y$124), 1, 0))</f>
        <v>1</v>
      </c>
      <c r="AA81">
        <v>2014</v>
      </c>
      <c r="AB81">
        <v>2019</v>
      </c>
      <c r="AD81" t="s">
        <v>733</v>
      </c>
      <c r="AE81" t="s">
        <v>174</v>
      </c>
      <c r="AF81" s="15" t="s">
        <v>175</v>
      </c>
      <c r="AJ81" t="s">
        <v>591</v>
      </c>
      <c r="AK81" s="27"/>
      <c r="AO81" t="s">
        <v>283</v>
      </c>
      <c r="AQ81" t="s">
        <v>274</v>
      </c>
      <c r="AS81" s="27"/>
      <c r="AU81" t="s">
        <v>592</v>
      </c>
      <c r="BA81" t="s">
        <v>593</v>
      </c>
      <c r="BD81" s="27"/>
    </row>
    <row r="82" spans="1:58" ht="16.5" customHeight="1" x14ac:dyDescent="0.25">
      <c r="A82" t="s">
        <v>172</v>
      </c>
      <c r="B82" s="4">
        <v>0</v>
      </c>
      <c r="C82" t="s">
        <v>172</v>
      </c>
      <c r="D82" t="s">
        <v>172</v>
      </c>
      <c r="E82" t="s">
        <v>365</v>
      </c>
      <c r="F82" t="s">
        <v>375</v>
      </c>
      <c r="G82" t="s">
        <v>319</v>
      </c>
      <c r="H82" t="s">
        <v>8</v>
      </c>
      <c r="I82">
        <v>4</v>
      </c>
      <c r="J82" t="s">
        <v>3</v>
      </c>
      <c r="K82" t="s">
        <v>173</v>
      </c>
      <c r="L82" t="s">
        <v>173</v>
      </c>
      <c r="M82" t="s">
        <v>342</v>
      </c>
      <c r="N82" t="s">
        <v>742</v>
      </c>
      <c r="O82" t="s">
        <v>35</v>
      </c>
      <c r="P82">
        <v>1</v>
      </c>
      <c r="Q82">
        <v>1</v>
      </c>
      <c r="R82" t="s">
        <v>352</v>
      </c>
      <c r="S82" t="s">
        <v>352</v>
      </c>
      <c r="T82">
        <v>10</v>
      </c>
      <c r="U82">
        <v>14</v>
      </c>
      <c r="V82">
        <f>IF(NOT(ISBLANK(T82)), IF(T82&gt;=AVERAGE($T$2:$T$124), 1, 0), IF(NOT(ISBLANK(U82)), IF(U82&gt;=AVERAGE($U$2:$U$124), 1, 0), "geen data"))</f>
        <v>1</v>
      </c>
      <c r="W82">
        <v>0.13</v>
      </c>
      <c r="X82" s="4">
        <f>IF(ISBLANK(W82), "geen data", IF(W82&lt;=AVERAGE($W$2:$W$124), 1, 0))</f>
        <v>1</v>
      </c>
      <c r="Y82">
        <v>0.08</v>
      </c>
      <c r="Z82" s="4">
        <f>IF(ISBLANK(Y82), "geen data", IF(Y82&lt;=AVERAGE($Y$2:$Y$124), 1, 0))</f>
        <v>1</v>
      </c>
      <c r="AA82">
        <v>2020</v>
      </c>
      <c r="AB82">
        <v>2023</v>
      </c>
      <c r="AD82" t="s">
        <v>734</v>
      </c>
      <c r="AE82" t="s">
        <v>174</v>
      </c>
      <c r="AF82" s="15" t="s">
        <v>175</v>
      </c>
      <c r="AJ82" t="s">
        <v>591</v>
      </c>
      <c r="AK82" s="27"/>
      <c r="AO82" t="s">
        <v>283</v>
      </c>
      <c r="AQ82" t="s">
        <v>274</v>
      </c>
      <c r="AS82" s="27"/>
      <c r="AU82" t="s">
        <v>592</v>
      </c>
      <c r="BA82" t="s">
        <v>593</v>
      </c>
      <c r="BD82" s="27"/>
    </row>
    <row r="83" spans="1:58" ht="16.5" customHeight="1" x14ac:dyDescent="0.25">
      <c r="A83" t="s">
        <v>172</v>
      </c>
      <c r="B83" s="4">
        <v>0</v>
      </c>
      <c r="C83" t="s">
        <v>172</v>
      </c>
      <c r="D83" t="s">
        <v>172</v>
      </c>
      <c r="E83" t="s">
        <v>365</v>
      </c>
      <c r="F83" t="s">
        <v>376</v>
      </c>
      <c r="G83" t="s">
        <v>319</v>
      </c>
      <c r="H83" t="s">
        <v>8</v>
      </c>
      <c r="I83">
        <v>5</v>
      </c>
      <c r="J83" t="s">
        <v>3</v>
      </c>
      <c r="K83" t="s">
        <v>173</v>
      </c>
      <c r="L83" t="s">
        <v>173</v>
      </c>
      <c r="M83" t="s">
        <v>342</v>
      </c>
      <c r="N83" t="s">
        <v>742</v>
      </c>
      <c r="O83" t="s">
        <v>35</v>
      </c>
      <c r="P83">
        <v>1</v>
      </c>
      <c r="Q83">
        <v>1</v>
      </c>
      <c r="R83" t="s">
        <v>352</v>
      </c>
      <c r="S83" t="s">
        <v>352</v>
      </c>
      <c r="T83">
        <v>10</v>
      </c>
      <c r="U83">
        <v>14</v>
      </c>
      <c r="V83">
        <f>IF(NOT(ISBLANK(T83)), IF(T83&gt;=AVERAGE($T$2:$T$124), 1, 0), IF(NOT(ISBLANK(U83)), IF(U83&gt;=AVERAGE($U$2:$U$124), 1, 0), "geen data"))</f>
        <v>1</v>
      </c>
      <c r="W83">
        <v>0.13</v>
      </c>
      <c r="X83" s="4">
        <f>IF(ISBLANK(W83), "geen data", IF(W83&lt;=AVERAGE($W$2:$W$124), 1, 0))</f>
        <v>1</v>
      </c>
      <c r="Y83">
        <v>0.08</v>
      </c>
      <c r="Z83" s="4">
        <f>IF(ISBLANK(Y83), "geen data", IF(Y83&lt;=AVERAGE($Y$2:$Y$124), 1, 0))</f>
        <v>1</v>
      </c>
      <c r="AA83">
        <v>2023</v>
      </c>
      <c r="AB83">
        <v>2024</v>
      </c>
      <c r="AD83" t="s">
        <v>735</v>
      </c>
      <c r="AE83" t="s">
        <v>174</v>
      </c>
      <c r="AF83" s="15" t="s">
        <v>175</v>
      </c>
      <c r="AJ83" t="s">
        <v>591</v>
      </c>
      <c r="AK83" s="27"/>
      <c r="AO83" t="s">
        <v>283</v>
      </c>
      <c r="AQ83" t="s">
        <v>274</v>
      </c>
      <c r="AS83" s="27"/>
      <c r="AU83" t="s">
        <v>592</v>
      </c>
      <c r="BA83" t="s">
        <v>593</v>
      </c>
      <c r="BD83" s="27"/>
    </row>
    <row r="84" spans="1:58" ht="16.5" customHeight="1" x14ac:dyDescent="0.25">
      <c r="A84" t="s">
        <v>172</v>
      </c>
      <c r="B84" s="4">
        <v>0</v>
      </c>
      <c r="C84" t="s">
        <v>172</v>
      </c>
      <c r="D84" t="s">
        <v>172</v>
      </c>
      <c r="E84" t="s">
        <v>365</v>
      </c>
      <c r="F84" t="s">
        <v>377</v>
      </c>
      <c r="G84" t="s">
        <v>319</v>
      </c>
      <c r="H84" t="s">
        <v>8</v>
      </c>
      <c r="I84">
        <v>1</v>
      </c>
      <c r="J84" t="s">
        <v>3</v>
      </c>
      <c r="K84" t="s">
        <v>173</v>
      </c>
      <c r="L84" t="s">
        <v>173</v>
      </c>
      <c r="M84" t="s">
        <v>342</v>
      </c>
      <c r="N84" t="s">
        <v>742</v>
      </c>
      <c r="O84" t="s">
        <v>35</v>
      </c>
      <c r="P84">
        <v>1</v>
      </c>
      <c r="Q84">
        <v>1</v>
      </c>
      <c r="R84" t="s">
        <v>352</v>
      </c>
      <c r="S84" t="s">
        <v>352</v>
      </c>
      <c r="T84">
        <v>10</v>
      </c>
      <c r="U84">
        <v>14</v>
      </c>
      <c r="V84">
        <f>IF(NOT(ISBLANK(T84)), IF(T84&gt;=AVERAGE($T$2:$T$124), 1, 0), IF(NOT(ISBLANK(U84)), IF(U84&gt;=AVERAGE($U$2:$U$124), 1, 0), "geen data"))</f>
        <v>1</v>
      </c>
      <c r="W84">
        <v>0.13</v>
      </c>
      <c r="X84" s="4">
        <f>IF(ISBLANK(W84), "geen data", IF(W84&lt;=AVERAGE($W$2:$W$124), 1, 0))</f>
        <v>1</v>
      </c>
      <c r="Y84">
        <v>0.08</v>
      </c>
      <c r="Z84" s="4">
        <f>IF(ISBLANK(Y84), "geen data", IF(Y84&lt;=AVERAGE($Y$2:$Y$124), 1, 0))</f>
        <v>1</v>
      </c>
      <c r="AA84">
        <v>2025</v>
      </c>
      <c r="AB84">
        <v>2027</v>
      </c>
      <c r="AD84" t="s">
        <v>736</v>
      </c>
      <c r="AE84" t="s">
        <v>174</v>
      </c>
      <c r="AF84" s="15" t="s">
        <v>175</v>
      </c>
      <c r="AJ84" t="s">
        <v>591</v>
      </c>
      <c r="AK84" s="27"/>
      <c r="AO84" t="s">
        <v>283</v>
      </c>
      <c r="AQ84" t="s">
        <v>274</v>
      </c>
      <c r="AS84" s="27"/>
      <c r="AU84" t="s">
        <v>592</v>
      </c>
      <c r="BA84" t="s">
        <v>593</v>
      </c>
      <c r="BD84" s="27"/>
    </row>
    <row r="85" spans="1:58" ht="16.5" customHeight="1" x14ac:dyDescent="0.25">
      <c r="A85" t="s">
        <v>172</v>
      </c>
      <c r="B85" s="4">
        <v>0</v>
      </c>
      <c r="C85" t="s">
        <v>172</v>
      </c>
      <c r="D85" t="s">
        <v>172</v>
      </c>
      <c r="E85" t="s">
        <v>378</v>
      </c>
      <c r="F85" t="s">
        <v>379</v>
      </c>
      <c r="G85" t="s">
        <v>319</v>
      </c>
      <c r="H85" t="s">
        <v>8</v>
      </c>
      <c r="I85">
        <v>1</v>
      </c>
      <c r="J85" t="s">
        <v>3</v>
      </c>
      <c r="K85" t="s">
        <v>173</v>
      </c>
      <c r="L85" t="s">
        <v>173</v>
      </c>
      <c r="M85" t="s">
        <v>39</v>
      </c>
      <c r="O85" t="s">
        <v>268</v>
      </c>
      <c r="P85">
        <v>1</v>
      </c>
      <c r="R85" t="s">
        <v>725</v>
      </c>
      <c r="U85">
        <v>25</v>
      </c>
      <c r="V85">
        <f>IF(NOT(ISBLANK(T85)), IF(T85&gt;=AVERAGE($T$2:$T$124), 1, 0), IF(NOT(ISBLANK(U85)), IF(U85&gt;=AVERAGE($U$2:$U$124), 1, 0), "geen data"))</f>
        <v>1</v>
      </c>
      <c r="X85" s="4" t="str">
        <f>IF(ISBLANK(W85), "geen data", IF(W85&lt;=AVERAGE($W$2:$W$124), 1, 0))</f>
        <v>geen data</v>
      </c>
      <c r="Z85" s="4" t="str">
        <f>IF(ISBLANK(Y85), "geen data", IF(Y85&lt;=AVERAGE($Y$2:$Y$124), 1, 0))</f>
        <v>geen data</v>
      </c>
      <c r="AA85">
        <v>2018</v>
      </c>
      <c r="AB85">
        <v>2021</v>
      </c>
      <c r="AE85" t="s">
        <v>726</v>
      </c>
      <c r="AF85" s="15" t="s">
        <v>175</v>
      </c>
      <c r="AK85" s="27"/>
      <c r="AS85" s="27"/>
      <c r="BD85" s="27"/>
    </row>
    <row r="86" spans="1:58" x14ac:dyDescent="0.25">
      <c r="A86" s="4" t="s">
        <v>298</v>
      </c>
      <c r="B86" s="4" t="s">
        <v>618</v>
      </c>
      <c r="C86" t="s">
        <v>172</v>
      </c>
      <c r="D86" s="4" t="s">
        <v>298</v>
      </c>
      <c r="E86" s="4" t="s">
        <v>617</v>
      </c>
      <c r="F86" s="4" t="s">
        <v>338</v>
      </c>
      <c r="G86" t="s">
        <v>319</v>
      </c>
      <c r="H86" s="4" t="s">
        <v>663</v>
      </c>
      <c r="I86" s="4">
        <v>1</v>
      </c>
      <c r="J86" t="s">
        <v>25</v>
      </c>
      <c r="K86" t="s">
        <v>173</v>
      </c>
      <c r="L86" t="s">
        <v>173</v>
      </c>
      <c r="M86" t="s">
        <v>26</v>
      </c>
      <c r="O86" t="s">
        <v>35</v>
      </c>
      <c r="W86">
        <v>0.12</v>
      </c>
      <c r="AA86">
        <v>2018</v>
      </c>
      <c r="AB86">
        <v>2022</v>
      </c>
      <c r="AE86" s="6" t="s">
        <v>176</v>
      </c>
      <c r="AF86" s="4" t="s">
        <v>177</v>
      </c>
    </row>
    <row r="87" spans="1:58" x14ac:dyDescent="0.25">
      <c r="A87" t="s">
        <v>178</v>
      </c>
      <c r="B87" s="4">
        <v>0</v>
      </c>
      <c r="C87" t="s">
        <v>178</v>
      </c>
      <c r="D87" t="s">
        <v>178</v>
      </c>
      <c r="E87" t="s">
        <v>727</v>
      </c>
      <c r="H87" t="s">
        <v>8</v>
      </c>
      <c r="I87">
        <v>1</v>
      </c>
      <c r="J87" t="s">
        <v>25</v>
      </c>
      <c r="M87" t="s">
        <v>39</v>
      </c>
      <c r="O87" t="s">
        <v>35</v>
      </c>
      <c r="T87">
        <v>2</v>
      </c>
      <c r="U87">
        <v>5</v>
      </c>
      <c r="V87">
        <f>IF(NOT(ISBLANK(T87)), IF(T87&gt;=AVERAGE($T$2:$T$124), 1, 0), IF(NOT(ISBLANK(U87)), IF(U87&gt;=AVERAGE($U$2:$U$124), 1, 0), "geen data"))</f>
        <v>0</v>
      </c>
      <c r="X87" s="4" t="str">
        <f>IF(ISBLANK(W87), "geen data", IF(W87&lt;=AVERAGE($W$2:$W$124), 1, 0))</f>
        <v>geen data</v>
      </c>
      <c r="Z87" s="4" t="str">
        <f>IF(ISBLANK(Y87), "geen data", IF(Y87&lt;=AVERAGE($Y$2:$Y$124), 1, 0))</f>
        <v>geen data</v>
      </c>
      <c r="AA87">
        <v>2018</v>
      </c>
      <c r="AB87">
        <v>2022</v>
      </c>
      <c r="AD87" s="6" t="s">
        <v>179</v>
      </c>
      <c r="AE87" t="s">
        <v>728</v>
      </c>
      <c r="AF87" t="s">
        <v>180</v>
      </c>
    </row>
    <row r="88" spans="1:58" ht="20.25" customHeight="1" x14ac:dyDescent="0.25">
      <c r="A88" t="s">
        <v>181</v>
      </c>
      <c r="B88" s="4">
        <v>0</v>
      </c>
      <c r="C88" t="s">
        <v>181</v>
      </c>
      <c r="D88" t="s">
        <v>181</v>
      </c>
      <c r="E88" t="s">
        <v>644</v>
      </c>
      <c r="F88" t="s">
        <v>620</v>
      </c>
      <c r="H88" t="s">
        <v>8</v>
      </c>
      <c r="I88">
        <v>1</v>
      </c>
      <c r="J88" t="s">
        <v>25</v>
      </c>
      <c r="K88" s="15" t="s">
        <v>182</v>
      </c>
      <c r="L88" s="15" t="s">
        <v>182</v>
      </c>
      <c r="M88" t="s">
        <v>26</v>
      </c>
      <c r="O88" t="s">
        <v>183</v>
      </c>
      <c r="T88">
        <v>10</v>
      </c>
      <c r="V88">
        <f>IF(NOT(ISBLANK(T88)), IF(T88&gt;=AVERAGE($T$2:$T$124), 1, 0), IF(NOT(ISBLANK(U88)), IF(U88&gt;=AVERAGE($U$2:$U$124), 1, 0), "geen data"))</f>
        <v>1</v>
      </c>
      <c r="W88">
        <v>0.4</v>
      </c>
      <c r="X88" s="4">
        <f>IF(ISBLANK(W88), "geen data", IF(W88&lt;=AVERAGE($W$2:$W$124), 1, 0))</f>
        <v>0</v>
      </c>
      <c r="Y88">
        <v>0.14000000000000001</v>
      </c>
      <c r="Z88" s="4">
        <f>IF(ISBLANK(Y88), "geen data", IF(Y88&lt;=AVERAGE($Y$2:$Y$124), 1, 0))</f>
        <v>1</v>
      </c>
      <c r="AB88" t="s">
        <v>693</v>
      </c>
      <c r="AD88" t="s">
        <v>724</v>
      </c>
      <c r="AE88" t="s">
        <v>184</v>
      </c>
      <c r="AF88" s="15" t="s">
        <v>185</v>
      </c>
      <c r="AI88" t="s">
        <v>282</v>
      </c>
      <c r="AP88" t="s">
        <v>594</v>
      </c>
      <c r="AQ88" t="s">
        <v>274</v>
      </c>
    </row>
    <row r="89" spans="1:58" x14ac:dyDescent="0.25">
      <c r="A89" t="s">
        <v>186</v>
      </c>
      <c r="B89" s="4">
        <v>0</v>
      </c>
      <c r="C89" t="s">
        <v>186</v>
      </c>
      <c r="D89" t="s">
        <v>186</v>
      </c>
      <c r="F89" t="s">
        <v>645</v>
      </c>
      <c r="G89" t="s">
        <v>723</v>
      </c>
      <c r="H89" t="s">
        <v>8</v>
      </c>
      <c r="I89">
        <v>1</v>
      </c>
      <c r="J89" t="s">
        <v>3</v>
      </c>
      <c r="K89" t="s">
        <v>187</v>
      </c>
      <c r="L89" t="s">
        <v>187</v>
      </c>
      <c r="M89" t="s">
        <v>26</v>
      </c>
      <c r="O89" t="s">
        <v>35</v>
      </c>
      <c r="T89">
        <v>4</v>
      </c>
      <c r="U89">
        <v>24</v>
      </c>
      <c r="V89">
        <f>IF(NOT(ISBLANK(T89)), IF(T89&gt;=AVERAGE($T$2:$T$124), 1, 0), IF(NOT(ISBLANK(U89)), IF(U89&gt;=AVERAGE($U$2:$U$124), 1, 0), "geen data"))</f>
        <v>0</v>
      </c>
      <c r="W89">
        <v>0.3</v>
      </c>
      <c r="X89" s="4">
        <f>IF(ISBLANK(W89), "geen data", IF(W89&lt;=AVERAGE($W$2:$W$124), 1, 0))</f>
        <v>0</v>
      </c>
      <c r="Y89">
        <v>0.14000000000000001</v>
      </c>
      <c r="Z89" s="4">
        <f>IF(ISBLANK(Y89), "geen data", IF(Y89&lt;=AVERAGE($Y$2:$Y$124), 1, 0))</f>
        <v>1</v>
      </c>
      <c r="AB89">
        <v>2020</v>
      </c>
      <c r="AC89" s="6"/>
      <c r="AD89" s="6" t="s">
        <v>714</v>
      </c>
      <c r="AE89" s="6" t="s">
        <v>188</v>
      </c>
      <c r="AF89" s="2" t="s">
        <v>189</v>
      </c>
      <c r="AH89" t="s">
        <v>716</v>
      </c>
      <c r="AJ89" s="27" t="s">
        <v>279</v>
      </c>
      <c r="AK89" s="27" t="s">
        <v>718</v>
      </c>
      <c r="AL89" s="27" t="s">
        <v>717</v>
      </c>
      <c r="AM89" s="27" t="s">
        <v>719</v>
      </c>
      <c r="AO89" t="s">
        <v>720</v>
      </c>
      <c r="AP89" t="s">
        <v>278</v>
      </c>
      <c r="BA89" t="s">
        <v>595</v>
      </c>
    </row>
    <row r="90" spans="1:58" ht="16.5" customHeight="1" x14ac:dyDescent="0.25">
      <c r="A90" t="s">
        <v>190</v>
      </c>
      <c r="B90" s="4">
        <v>0</v>
      </c>
      <c r="C90" t="s">
        <v>190</v>
      </c>
      <c r="D90" t="s">
        <v>190</v>
      </c>
      <c r="F90" t="s">
        <v>646</v>
      </c>
      <c r="G90" t="s">
        <v>723</v>
      </c>
      <c r="H90" t="s">
        <v>8</v>
      </c>
      <c r="I90">
        <v>1</v>
      </c>
      <c r="J90" t="s">
        <v>3</v>
      </c>
      <c r="K90" t="s">
        <v>191</v>
      </c>
      <c r="L90" t="s">
        <v>192</v>
      </c>
      <c r="M90" t="s">
        <v>342</v>
      </c>
      <c r="O90" t="s">
        <v>35</v>
      </c>
      <c r="P90">
        <v>1</v>
      </c>
      <c r="Q90">
        <v>1</v>
      </c>
      <c r="R90" t="s">
        <v>721</v>
      </c>
      <c r="S90" t="s">
        <v>721</v>
      </c>
      <c r="T90">
        <v>10</v>
      </c>
      <c r="V90">
        <f>IF(NOT(ISBLANK(T90)), IF(T90&gt;=AVERAGE($T$2:$T$124), 1, 0), IF(NOT(ISBLANK(U90)), IF(U90&gt;=AVERAGE($U$2:$U$124), 1, 0), "geen data"))</f>
        <v>1</v>
      </c>
      <c r="W90">
        <v>0.3</v>
      </c>
      <c r="X90" s="4">
        <f>IF(ISBLANK(W90), "geen data", IF(W90&lt;=AVERAGE($W$2:$W$124), 1, 0))</f>
        <v>0</v>
      </c>
      <c r="Y90">
        <v>0.14000000000000001</v>
      </c>
      <c r="Z90" s="4">
        <f>IF(ISBLANK(Y90), "geen data", IF(Y90&lt;=AVERAGE($Y$2:$Y$124), 1, 0))</f>
        <v>1</v>
      </c>
      <c r="AB90">
        <v>2024</v>
      </c>
      <c r="AD90" t="s">
        <v>722</v>
      </c>
      <c r="AE90" s="7" t="s">
        <v>297</v>
      </c>
      <c r="AF90" s="15" t="s">
        <v>193</v>
      </c>
      <c r="AI90" s="27" t="s">
        <v>294</v>
      </c>
      <c r="AJ90" s="27" t="s">
        <v>279</v>
      </c>
      <c r="AK90" s="27" t="s">
        <v>284</v>
      </c>
      <c r="AL90" s="27" t="s">
        <v>610</v>
      </c>
      <c r="AM90" t="s">
        <v>286</v>
      </c>
      <c r="AN90" s="27"/>
      <c r="AO90" t="s">
        <v>280</v>
      </c>
      <c r="AP90" t="s">
        <v>278</v>
      </c>
      <c r="AQ90" t="s">
        <v>274</v>
      </c>
      <c r="BA90" t="s">
        <v>596</v>
      </c>
      <c r="BF90" s="2"/>
    </row>
    <row r="91" spans="1:58" ht="15" customHeight="1" x14ac:dyDescent="0.25">
      <c r="A91" t="s">
        <v>194</v>
      </c>
      <c r="B91" s="4">
        <v>0</v>
      </c>
      <c r="C91" t="s">
        <v>194</v>
      </c>
      <c r="D91" t="s">
        <v>194</v>
      </c>
      <c r="H91" t="s">
        <v>661</v>
      </c>
      <c r="I91">
        <v>1</v>
      </c>
      <c r="X91" s="4"/>
      <c r="Z91" s="4"/>
      <c r="AF91" s="15"/>
      <c r="AI91" s="27"/>
      <c r="AJ91" s="27"/>
      <c r="AK91" s="27"/>
      <c r="AL91" s="27"/>
      <c r="AN91" s="27"/>
    </row>
    <row r="92" spans="1:58" ht="30" customHeight="1" x14ac:dyDescent="0.25">
      <c r="A92" t="s">
        <v>197</v>
      </c>
      <c r="B92" s="4">
        <v>1</v>
      </c>
      <c r="C92" t="s">
        <v>194</v>
      </c>
      <c r="D92" t="s">
        <v>197</v>
      </c>
      <c r="E92" t="s">
        <v>614</v>
      </c>
      <c r="F92" t="s">
        <v>613</v>
      </c>
      <c r="G92" t="s">
        <v>713</v>
      </c>
      <c r="H92" t="s">
        <v>661</v>
      </c>
      <c r="I92">
        <v>1</v>
      </c>
      <c r="J92" t="s">
        <v>3</v>
      </c>
      <c r="K92" t="s">
        <v>195</v>
      </c>
      <c r="L92" t="s">
        <v>198</v>
      </c>
      <c r="M92" t="s">
        <v>39</v>
      </c>
      <c r="O92" t="s">
        <v>35</v>
      </c>
      <c r="T92">
        <v>5</v>
      </c>
      <c r="U92">
        <v>5</v>
      </c>
      <c r="W92">
        <v>0.4</v>
      </c>
      <c r="X92" s="4"/>
      <c r="Y92">
        <v>0.14000000000000001</v>
      </c>
      <c r="Z92" s="4"/>
      <c r="AA92">
        <v>2024</v>
      </c>
      <c r="AB92" t="s">
        <v>693</v>
      </c>
      <c r="AE92" t="s">
        <v>196</v>
      </c>
      <c r="AF92" s="15" t="s">
        <v>199</v>
      </c>
      <c r="AG92" s="2"/>
      <c r="AH92" s="2"/>
      <c r="AI92" s="27" t="s">
        <v>282</v>
      </c>
      <c r="AJ92" s="27" t="s">
        <v>609</v>
      </c>
      <c r="AK92" s="27" t="s">
        <v>284</v>
      </c>
      <c r="AL92" s="27" t="s">
        <v>610</v>
      </c>
      <c r="AM92" t="s">
        <v>286</v>
      </c>
      <c r="AN92" s="27"/>
      <c r="AO92" t="s">
        <v>280</v>
      </c>
      <c r="AP92" t="s">
        <v>611</v>
      </c>
      <c r="AQ92" t="s">
        <v>274</v>
      </c>
      <c r="AX92" t="s">
        <v>573</v>
      </c>
      <c r="BA92" t="s">
        <v>616</v>
      </c>
    </row>
    <row r="93" spans="1:58" ht="37.5" customHeight="1" x14ac:dyDescent="0.25">
      <c r="A93" t="s">
        <v>200</v>
      </c>
      <c r="B93" s="4">
        <v>1</v>
      </c>
      <c r="C93" t="s">
        <v>194</v>
      </c>
      <c r="D93" t="s">
        <v>200</v>
      </c>
      <c r="E93" t="s">
        <v>614</v>
      </c>
      <c r="F93" t="s">
        <v>613</v>
      </c>
      <c r="G93" t="s">
        <v>713</v>
      </c>
      <c r="H93" t="s">
        <v>661</v>
      </c>
      <c r="I93">
        <v>1</v>
      </c>
      <c r="J93" t="s">
        <v>3</v>
      </c>
      <c r="K93" t="s">
        <v>195</v>
      </c>
      <c r="L93" t="s">
        <v>201</v>
      </c>
      <c r="M93" t="s">
        <v>39</v>
      </c>
      <c r="O93" t="s">
        <v>35</v>
      </c>
      <c r="T93">
        <v>5</v>
      </c>
      <c r="U93">
        <v>5</v>
      </c>
      <c r="W93">
        <v>0.4</v>
      </c>
      <c r="X93" s="4"/>
      <c r="Y93">
        <v>0.14000000000000001</v>
      </c>
      <c r="Z93" s="4"/>
      <c r="AA93">
        <v>2024</v>
      </c>
      <c r="AB93" t="s">
        <v>693</v>
      </c>
      <c r="AE93" t="s">
        <v>196</v>
      </c>
      <c r="AF93" s="15" t="s">
        <v>199</v>
      </c>
      <c r="AG93" s="2"/>
      <c r="AH93" s="2"/>
      <c r="AI93" s="27" t="s">
        <v>282</v>
      </c>
      <c r="AJ93" s="27" t="s">
        <v>609</v>
      </c>
      <c r="AK93" s="27" t="s">
        <v>284</v>
      </c>
      <c r="AL93" s="27" t="s">
        <v>610</v>
      </c>
      <c r="AM93" t="s">
        <v>286</v>
      </c>
      <c r="AN93" s="27"/>
      <c r="AO93" t="s">
        <v>280</v>
      </c>
      <c r="AP93" t="s">
        <v>611</v>
      </c>
      <c r="AQ93" t="s">
        <v>274</v>
      </c>
      <c r="AX93" t="s">
        <v>573</v>
      </c>
      <c r="BA93" t="s">
        <v>616</v>
      </c>
    </row>
    <row r="94" spans="1:58" ht="24.75" customHeight="1" x14ac:dyDescent="0.25">
      <c r="A94" t="s">
        <v>202</v>
      </c>
      <c r="B94" s="4">
        <v>1</v>
      </c>
      <c r="C94" t="s">
        <v>194</v>
      </c>
      <c r="D94" t="s">
        <v>202</v>
      </c>
      <c r="E94" t="s">
        <v>614</v>
      </c>
      <c r="F94" t="s">
        <v>613</v>
      </c>
      <c r="G94" t="s">
        <v>713</v>
      </c>
      <c r="H94" t="s">
        <v>661</v>
      </c>
      <c r="I94">
        <v>1</v>
      </c>
      <c r="J94" t="s">
        <v>3</v>
      </c>
      <c r="K94" t="s">
        <v>195</v>
      </c>
      <c r="L94" t="s">
        <v>203</v>
      </c>
      <c r="M94" t="s">
        <v>39</v>
      </c>
      <c r="O94" t="s">
        <v>35</v>
      </c>
      <c r="T94">
        <v>5</v>
      </c>
      <c r="U94">
        <v>5</v>
      </c>
      <c r="W94">
        <v>0.4</v>
      </c>
      <c r="X94" s="4"/>
      <c r="Y94">
        <v>0.14000000000000001</v>
      </c>
      <c r="Z94" s="4"/>
      <c r="AA94">
        <v>2024</v>
      </c>
      <c r="AB94" t="s">
        <v>693</v>
      </c>
      <c r="AE94" t="s">
        <v>196</v>
      </c>
      <c r="AF94" s="15" t="s">
        <v>199</v>
      </c>
      <c r="AG94" s="2"/>
      <c r="AH94" s="2"/>
      <c r="AI94" s="27" t="s">
        <v>282</v>
      </c>
      <c r="AJ94" s="27" t="s">
        <v>609</v>
      </c>
      <c r="AK94" s="27" t="s">
        <v>284</v>
      </c>
      <c r="AL94" s="27" t="s">
        <v>610</v>
      </c>
      <c r="AM94" t="s">
        <v>286</v>
      </c>
      <c r="AN94" s="27"/>
      <c r="AO94" t="s">
        <v>280</v>
      </c>
      <c r="AP94" t="s">
        <v>611</v>
      </c>
      <c r="AQ94" t="s">
        <v>274</v>
      </c>
      <c r="AX94" t="s">
        <v>573</v>
      </c>
      <c r="BA94" t="s">
        <v>616</v>
      </c>
    </row>
    <row r="95" spans="1:58" ht="30" customHeight="1" x14ac:dyDescent="0.25">
      <c r="A95" t="s">
        <v>204</v>
      </c>
      <c r="B95" s="4">
        <v>1</v>
      </c>
      <c r="C95" t="s">
        <v>194</v>
      </c>
      <c r="D95" t="s">
        <v>204</v>
      </c>
      <c r="E95" t="s">
        <v>614</v>
      </c>
      <c r="F95" t="s">
        <v>613</v>
      </c>
      <c r="G95" t="s">
        <v>713</v>
      </c>
      <c r="H95" t="s">
        <v>661</v>
      </c>
      <c r="I95">
        <v>1</v>
      </c>
      <c r="J95" t="s">
        <v>3</v>
      </c>
      <c r="K95" t="s">
        <v>195</v>
      </c>
      <c r="L95" t="s">
        <v>205</v>
      </c>
      <c r="M95" t="s">
        <v>39</v>
      </c>
      <c r="O95" t="s">
        <v>35</v>
      </c>
      <c r="T95">
        <v>5</v>
      </c>
      <c r="U95">
        <v>5</v>
      </c>
      <c r="W95">
        <v>0.4</v>
      </c>
      <c r="X95" s="4"/>
      <c r="Y95">
        <v>0.14000000000000001</v>
      </c>
      <c r="Z95" s="4"/>
      <c r="AA95">
        <v>2024</v>
      </c>
      <c r="AB95" t="s">
        <v>693</v>
      </c>
      <c r="AE95" t="s">
        <v>196</v>
      </c>
      <c r="AF95" s="15" t="s">
        <v>199</v>
      </c>
      <c r="AG95" s="2"/>
      <c r="AH95" s="2"/>
      <c r="AI95" s="27" t="s">
        <v>282</v>
      </c>
      <c r="AJ95" s="27" t="s">
        <v>609</v>
      </c>
      <c r="AK95" s="27" t="s">
        <v>284</v>
      </c>
      <c r="AL95" s="27" t="s">
        <v>610</v>
      </c>
      <c r="AM95" t="s">
        <v>286</v>
      </c>
      <c r="AN95" s="27"/>
      <c r="AO95" t="s">
        <v>280</v>
      </c>
      <c r="AP95" t="s">
        <v>611</v>
      </c>
      <c r="AQ95" t="s">
        <v>274</v>
      </c>
      <c r="AX95" t="s">
        <v>573</v>
      </c>
      <c r="BA95" t="s">
        <v>616</v>
      </c>
    </row>
    <row r="96" spans="1:58" ht="23.25" customHeight="1" x14ac:dyDescent="0.25">
      <c r="A96" t="s">
        <v>206</v>
      </c>
      <c r="B96" s="4">
        <v>1</v>
      </c>
      <c r="C96" t="s">
        <v>194</v>
      </c>
      <c r="D96" t="s">
        <v>206</v>
      </c>
      <c r="E96" t="s">
        <v>614</v>
      </c>
      <c r="F96" t="s">
        <v>613</v>
      </c>
      <c r="G96" t="s">
        <v>713</v>
      </c>
      <c r="H96" t="s">
        <v>661</v>
      </c>
      <c r="I96">
        <v>1</v>
      </c>
      <c r="J96" t="s">
        <v>3</v>
      </c>
      <c r="K96" t="s">
        <v>195</v>
      </c>
      <c r="L96" t="s">
        <v>207</v>
      </c>
      <c r="M96" t="s">
        <v>39</v>
      </c>
      <c r="O96" t="s">
        <v>35</v>
      </c>
      <c r="T96">
        <v>5</v>
      </c>
      <c r="U96">
        <v>5</v>
      </c>
      <c r="W96">
        <v>0.4</v>
      </c>
      <c r="X96" s="4"/>
      <c r="Y96">
        <v>0.14000000000000001</v>
      </c>
      <c r="Z96" s="4"/>
      <c r="AA96">
        <v>2024</v>
      </c>
      <c r="AB96" t="s">
        <v>693</v>
      </c>
      <c r="AE96" t="s">
        <v>196</v>
      </c>
      <c r="AF96" s="15" t="s">
        <v>199</v>
      </c>
      <c r="AG96" s="2"/>
      <c r="AH96" s="2"/>
      <c r="AI96" s="27" t="s">
        <v>282</v>
      </c>
      <c r="AJ96" s="27" t="s">
        <v>609</v>
      </c>
      <c r="AK96" s="27" t="s">
        <v>284</v>
      </c>
      <c r="AL96" s="27" t="s">
        <v>610</v>
      </c>
      <c r="AM96" t="s">
        <v>286</v>
      </c>
      <c r="AN96" s="27"/>
      <c r="AO96" t="s">
        <v>280</v>
      </c>
      <c r="AP96" t="s">
        <v>611</v>
      </c>
      <c r="AQ96" t="s">
        <v>274</v>
      </c>
      <c r="AX96" t="s">
        <v>573</v>
      </c>
      <c r="BA96" t="s">
        <v>616</v>
      </c>
    </row>
    <row r="97" spans="1:53" ht="34.5" customHeight="1" x14ac:dyDescent="0.25">
      <c r="A97" t="s">
        <v>208</v>
      </c>
      <c r="B97" s="4">
        <v>1</v>
      </c>
      <c r="C97" t="s">
        <v>194</v>
      </c>
      <c r="D97" t="s">
        <v>208</v>
      </c>
      <c r="E97" t="s">
        <v>614</v>
      </c>
      <c r="F97" t="s">
        <v>613</v>
      </c>
      <c r="G97" t="s">
        <v>713</v>
      </c>
      <c r="H97" t="s">
        <v>661</v>
      </c>
      <c r="I97">
        <v>1</v>
      </c>
      <c r="J97" t="s">
        <v>3</v>
      </c>
      <c r="K97" t="s">
        <v>195</v>
      </c>
      <c r="L97" t="s">
        <v>209</v>
      </c>
      <c r="M97" t="s">
        <v>39</v>
      </c>
      <c r="O97" t="s">
        <v>35</v>
      </c>
      <c r="T97">
        <v>5</v>
      </c>
      <c r="U97">
        <v>5</v>
      </c>
      <c r="W97">
        <v>0.4</v>
      </c>
      <c r="X97" s="4"/>
      <c r="Y97">
        <v>0.14000000000000001</v>
      </c>
      <c r="Z97" s="4"/>
      <c r="AA97">
        <v>2024</v>
      </c>
      <c r="AB97" t="s">
        <v>693</v>
      </c>
      <c r="AE97" t="s">
        <v>196</v>
      </c>
      <c r="AF97" s="15" t="s">
        <v>199</v>
      </c>
      <c r="AG97" s="2"/>
      <c r="AH97" s="2"/>
      <c r="AI97" s="27" t="s">
        <v>282</v>
      </c>
      <c r="AJ97" s="27" t="s">
        <v>609</v>
      </c>
      <c r="AK97" s="27" t="s">
        <v>284</v>
      </c>
      <c r="AL97" s="27" t="s">
        <v>610</v>
      </c>
      <c r="AM97" t="s">
        <v>286</v>
      </c>
      <c r="AO97" t="s">
        <v>280</v>
      </c>
      <c r="AP97" t="s">
        <v>611</v>
      </c>
      <c r="AQ97" t="s">
        <v>274</v>
      </c>
      <c r="AX97" t="s">
        <v>573</v>
      </c>
      <c r="BA97" t="s">
        <v>616</v>
      </c>
    </row>
    <row r="98" spans="1:53" ht="38.25" customHeight="1" x14ac:dyDescent="0.25">
      <c r="A98" t="s">
        <v>210</v>
      </c>
      <c r="B98" s="4">
        <v>1</v>
      </c>
      <c r="C98" t="s">
        <v>194</v>
      </c>
      <c r="D98" t="s">
        <v>210</v>
      </c>
      <c r="E98" t="s">
        <v>614</v>
      </c>
      <c r="F98" t="s">
        <v>613</v>
      </c>
      <c r="G98" t="s">
        <v>713</v>
      </c>
      <c r="H98" t="s">
        <v>661</v>
      </c>
      <c r="I98">
        <v>1</v>
      </c>
      <c r="J98" t="s">
        <v>3</v>
      </c>
      <c r="K98" t="s">
        <v>195</v>
      </c>
      <c r="L98" t="s">
        <v>211</v>
      </c>
      <c r="M98" t="s">
        <v>39</v>
      </c>
      <c r="O98" t="s">
        <v>35</v>
      </c>
      <c r="T98">
        <v>5</v>
      </c>
      <c r="U98">
        <v>5</v>
      </c>
      <c r="W98">
        <v>0.4</v>
      </c>
      <c r="X98" s="4"/>
      <c r="Y98">
        <v>0.14000000000000001</v>
      </c>
      <c r="Z98" s="4"/>
      <c r="AA98">
        <v>2024</v>
      </c>
      <c r="AB98" t="s">
        <v>693</v>
      </c>
      <c r="AE98" t="s">
        <v>196</v>
      </c>
      <c r="AF98" s="15" t="s">
        <v>199</v>
      </c>
      <c r="AG98" s="2"/>
      <c r="AH98" s="2"/>
      <c r="AI98" s="27" t="s">
        <v>282</v>
      </c>
      <c r="AJ98" s="27" t="s">
        <v>609</v>
      </c>
      <c r="AK98" s="27" t="s">
        <v>284</v>
      </c>
      <c r="AL98" s="27" t="s">
        <v>610</v>
      </c>
      <c r="AM98" t="s">
        <v>286</v>
      </c>
      <c r="AN98" s="27"/>
      <c r="AO98" t="s">
        <v>280</v>
      </c>
      <c r="AP98" t="s">
        <v>611</v>
      </c>
      <c r="AQ98" t="s">
        <v>274</v>
      </c>
      <c r="AX98" t="s">
        <v>573</v>
      </c>
      <c r="BA98" t="s">
        <v>616</v>
      </c>
    </row>
    <row r="99" spans="1:53" ht="38.25" customHeight="1" x14ac:dyDescent="0.25">
      <c r="A99" t="s">
        <v>212</v>
      </c>
      <c r="B99" s="4">
        <v>1</v>
      </c>
      <c r="C99" t="s">
        <v>194</v>
      </c>
      <c r="D99" t="s">
        <v>212</v>
      </c>
      <c r="E99" t="s">
        <v>614</v>
      </c>
      <c r="F99" t="s">
        <v>613</v>
      </c>
      <c r="G99" t="s">
        <v>713</v>
      </c>
      <c r="H99" t="s">
        <v>661</v>
      </c>
      <c r="I99">
        <v>1</v>
      </c>
      <c r="J99" t="s">
        <v>3</v>
      </c>
      <c r="K99" t="s">
        <v>195</v>
      </c>
      <c r="L99" t="s">
        <v>213</v>
      </c>
      <c r="M99" t="s">
        <v>39</v>
      </c>
      <c r="O99" t="s">
        <v>35</v>
      </c>
      <c r="T99">
        <v>5</v>
      </c>
      <c r="U99">
        <v>5</v>
      </c>
      <c r="W99">
        <v>0.4</v>
      </c>
      <c r="X99" s="4"/>
      <c r="Y99">
        <v>0.14000000000000001</v>
      </c>
      <c r="Z99" s="4"/>
      <c r="AA99">
        <v>2024</v>
      </c>
      <c r="AB99" t="s">
        <v>693</v>
      </c>
      <c r="AE99" t="s">
        <v>196</v>
      </c>
      <c r="AF99" s="15" t="s">
        <v>199</v>
      </c>
      <c r="AG99" s="2"/>
      <c r="AH99" s="2"/>
      <c r="AI99" s="27" t="s">
        <v>282</v>
      </c>
      <c r="AJ99" s="27" t="s">
        <v>609</v>
      </c>
      <c r="AK99" s="27" t="s">
        <v>284</v>
      </c>
      <c r="AL99" s="27" t="s">
        <v>610</v>
      </c>
      <c r="AM99" t="s">
        <v>286</v>
      </c>
      <c r="AN99" s="27"/>
      <c r="AO99" t="s">
        <v>280</v>
      </c>
      <c r="AP99" t="s">
        <v>611</v>
      </c>
      <c r="AQ99" t="s">
        <v>274</v>
      </c>
      <c r="AX99" t="s">
        <v>573</v>
      </c>
      <c r="BA99" t="s">
        <v>616</v>
      </c>
    </row>
    <row r="100" spans="1:53" ht="28.5" customHeight="1" x14ac:dyDescent="0.25">
      <c r="A100" t="s">
        <v>214</v>
      </c>
      <c r="B100" s="4">
        <v>1</v>
      </c>
      <c r="C100" t="s">
        <v>194</v>
      </c>
      <c r="D100" t="s">
        <v>214</v>
      </c>
      <c r="E100" t="s">
        <v>614</v>
      </c>
      <c r="F100" t="s">
        <v>612</v>
      </c>
      <c r="G100" t="s">
        <v>713</v>
      </c>
      <c r="H100" t="s">
        <v>661</v>
      </c>
      <c r="I100">
        <v>1</v>
      </c>
      <c r="J100" t="s">
        <v>25</v>
      </c>
      <c r="K100" t="s">
        <v>195</v>
      </c>
      <c r="L100" t="s">
        <v>215</v>
      </c>
      <c r="M100" t="s">
        <v>39</v>
      </c>
      <c r="O100" t="s">
        <v>35</v>
      </c>
      <c r="T100">
        <v>2</v>
      </c>
      <c r="U100">
        <v>8</v>
      </c>
      <c r="X100" s="4"/>
      <c r="Z100" s="4"/>
      <c r="AA100">
        <v>2017</v>
      </c>
      <c r="AB100">
        <v>2021</v>
      </c>
      <c r="AE100" t="s">
        <v>216</v>
      </c>
      <c r="AF100" s="15" t="s">
        <v>217</v>
      </c>
      <c r="AG100" s="2"/>
      <c r="AH100" s="2"/>
      <c r="AI100" s="27" t="s">
        <v>282</v>
      </c>
      <c r="AJ100" s="27" t="s">
        <v>609</v>
      </c>
      <c r="AK100" s="27" t="s">
        <v>284</v>
      </c>
      <c r="AL100" s="27"/>
      <c r="AM100" t="s">
        <v>286</v>
      </c>
      <c r="AN100" s="27"/>
      <c r="AP100" t="s">
        <v>611</v>
      </c>
      <c r="AX100" t="s">
        <v>573</v>
      </c>
      <c r="BA100" t="s">
        <v>615</v>
      </c>
    </row>
    <row r="101" spans="1:53" ht="28.5" customHeight="1" x14ac:dyDescent="0.25">
      <c r="A101" t="s">
        <v>218</v>
      </c>
      <c r="B101" s="4">
        <v>1</v>
      </c>
      <c r="C101" t="s">
        <v>194</v>
      </c>
      <c r="D101" t="s">
        <v>218</v>
      </c>
      <c r="E101" t="s">
        <v>614</v>
      </c>
      <c r="F101" t="s">
        <v>612</v>
      </c>
      <c r="G101" t="s">
        <v>713</v>
      </c>
      <c r="H101" t="s">
        <v>661</v>
      </c>
      <c r="I101">
        <v>1</v>
      </c>
      <c r="J101" t="s">
        <v>25</v>
      </c>
      <c r="K101" t="s">
        <v>195</v>
      </c>
      <c r="L101" t="s">
        <v>219</v>
      </c>
      <c r="M101" t="s">
        <v>39</v>
      </c>
      <c r="O101" t="s">
        <v>35</v>
      </c>
      <c r="T101">
        <v>2</v>
      </c>
      <c r="U101">
        <v>8</v>
      </c>
      <c r="X101" s="4"/>
      <c r="Z101" s="4"/>
      <c r="AA101">
        <v>2017</v>
      </c>
      <c r="AB101">
        <v>2021</v>
      </c>
      <c r="AE101" t="s">
        <v>216</v>
      </c>
      <c r="AF101" s="15" t="s">
        <v>217</v>
      </c>
      <c r="AG101" s="2"/>
      <c r="AH101" s="2"/>
      <c r="AI101" s="27" t="s">
        <v>282</v>
      </c>
      <c r="AJ101" s="27" t="s">
        <v>609</v>
      </c>
      <c r="AK101" s="27" t="s">
        <v>284</v>
      </c>
      <c r="AL101" s="27"/>
      <c r="AM101" t="s">
        <v>286</v>
      </c>
      <c r="AN101" s="27"/>
      <c r="AP101" t="s">
        <v>611</v>
      </c>
      <c r="AX101" t="s">
        <v>573</v>
      </c>
      <c r="BA101" t="s">
        <v>615</v>
      </c>
    </row>
    <row r="102" spans="1:53" ht="28.5" customHeight="1" x14ac:dyDescent="0.25">
      <c r="A102" t="s">
        <v>220</v>
      </c>
      <c r="B102" s="4">
        <v>1</v>
      </c>
      <c r="C102" t="s">
        <v>194</v>
      </c>
      <c r="D102" t="s">
        <v>220</v>
      </c>
      <c r="E102" t="s">
        <v>614</v>
      </c>
      <c r="F102" t="s">
        <v>612</v>
      </c>
      <c r="G102" t="s">
        <v>713</v>
      </c>
      <c r="H102" t="s">
        <v>661</v>
      </c>
      <c r="I102">
        <v>1</v>
      </c>
      <c r="J102" t="s">
        <v>25</v>
      </c>
      <c r="K102" t="s">
        <v>195</v>
      </c>
      <c r="L102" t="s">
        <v>221</v>
      </c>
      <c r="M102" t="s">
        <v>39</v>
      </c>
      <c r="O102" t="s">
        <v>35</v>
      </c>
      <c r="T102">
        <v>2</v>
      </c>
      <c r="U102">
        <v>8</v>
      </c>
      <c r="AA102">
        <v>2017</v>
      </c>
      <c r="AB102">
        <v>2021</v>
      </c>
      <c r="AE102" t="s">
        <v>216</v>
      </c>
      <c r="AF102" s="15" t="s">
        <v>217</v>
      </c>
      <c r="AI102" s="27" t="s">
        <v>282</v>
      </c>
      <c r="AJ102" s="27" t="s">
        <v>609</v>
      </c>
      <c r="AK102" s="27" t="s">
        <v>284</v>
      </c>
      <c r="AL102" s="27"/>
      <c r="AM102" t="s">
        <v>286</v>
      </c>
      <c r="AN102" s="27"/>
      <c r="AP102" t="s">
        <v>611</v>
      </c>
      <c r="AX102" t="s">
        <v>573</v>
      </c>
      <c r="BA102" t="s">
        <v>615</v>
      </c>
    </row>
    <row r="103" spans="1:53" ht="28.5" customHeight="1" x14ac:dyDescent="0.25">
      <c r="A103" t="s">
        <v>222</v>
      </c>
      <c r="B103" s="4">
        <v>1</v>
      </c>
      <c r="C103" t="s">
        <v>194</v>
      </c>
      <c r="D103" t="s">
        <v>222</v>
      </c>
      <c r="E103" t="s">
        <v>614</v>
      </c>
      <c r="F103" t="s">
        <v>612</v>
      </c>
      <c r="G103" t="s">
        <v>713</v>
      </c>
      <c r="H103" t="s">
        <v>661</v>
      </c>
      <c r="I103">
        <v>1</v>
      </c>
      <c r="J103" t="s">
        <v>25</v>
      </c>
      <c r="K103" t="s">
        <v>195</v>
      </c>
      <c r="L103" t="s">
        <v>221</v>
      </c>
      <c r="M103" t="s">
        <v>39</v>
      </c>
      <c r="O103" t="s">
        <v>35</v>
      </c>
      <c r="T103">
        <v>2</v>
      </c>
      <c r="U103">
        <v>8</v>
      </c>
      <c r="AA103">
        <v>2017</v>
      </c>
      <c r="AB103">
        <v>2021</v>
      </c>
      <c r="AE103" t="s">
        <v>216</v>
      </c>
      <c r="AF103" s="15" t="s">
        <v>217</v>
      </c>
      <c r="AI103" s="27" t="s">
        <v>282</v>
      </c>
      <c r="AJ103" s="27" t="s">
        <v>609</v>
      </c>
      <c r="AK103" s="27" t="s">
        <v>284</v>
      </c>
      <c r="AL103" s="27"/>
      <c r="AM103" t="s">
        <v>286</v>
      </c>
      <c r="AN103" s="27"/>
      <c r="AP103" t="s">
        <v>611</v>
      </c>
      <c r="AX103" t="s">
        <v>573</v>
      </c>
      <c r="BA103" t="s">
        <v>615</v>
      </c>
    </row>
    <row r="104" spans="1:53" s="4" customFormat="1" x14ac:dyDescent="0.25">
      <c r="A104" s="4" t="s">
        <v>223</v>
      </c>
      <c r="B104" s="4">
        <v>0</v>
      </c>
      <c r="C104" s="4" t="s">
        <v>223</v>
      </c>
      <c r="D104" s="4" t="s">
        <v>223</v>
      </c>
      <c r="M104"/>
      <c r="V104" t="str">
        <f>IF(NOT(ISBLANK(T104)), IF(T104&gt;=AVERAGE($T$2:$T$124), 1, 0), IF(NOT(ISBLANK(U104)), IF(U104&gt;=AVERAGE($U$2:$U$124), 1, 0), "geen data"))</f>
        <v>geen data</v>
      </c>
      <c r="X104" s="4" t="str">
        <f>IF(ISBLANK(W104), "geen data", IF(W104&lt;=AVERAGE($W$2:$W$124), 1, 0))</f>
        <v>geen data</v>
      </c>
      <c r="Z104" s="4" t="str">
        <f>IF(ISBLANK(Y104), "geen data", IF(Y104&lt;=AVERAGE($Y$2:$Y$124), 1, 0))</f>
        <v>geen data</v>
      </c>
      <c r="AF104" s="4" t="s">
        <v>18</v>
      </c>
    </row>
    <row r="105" spans="1:53" s="4" customFormat="1" ht="22.5" customHeight="1" x14ac:dyDescent="0.25">
      <c r="A105" s="4" t="s">
        <v>224</v>
      </c>
      <c r="B105" s="4">
        <v>0</v>
      </c>
      <c r="C105" s="4" t="s">
        <v>224</v>
      </c>
      <c r="D105" s="4" t="s">
        <v>224</v>
      </c>
      <c r="J105" s="4" t="s">
        <v>25</v>
      </c>
      <c r="K105" s="4" t="s">
        <v>225</v>
      </c>
      <c r="L105" s="4" t="s">
        <v>226</v>
      </c>
      <c r="M105" s="4" t="s">
        <v>39</v>
      </c>
      <c r="O105" s="4" t="s">
        <v>35</v>
      </c>
      <c r="V105" t="str">
        <f>IF(NOT(ISBLANK(T105)), IF(T105&gt;=AVERAGE($T$2:$T$124), 1, 0), IF(NOT(ISBLANK(U105)), IF(U105&gt;=AVERAGE($U$2:$U$124), 1, 0), "geen data"))</f>
        <v>geen data</v>
      </c>
      <c r="W105" s="4">
        <v>7.0000000000000007E-2</v>
      </c>
      <c r="X105" s="4">
        <f>IF(ISBLANK(W105), "geen data", IF(W105&lt;=AVERAGE($W$2:$W$124), 1, 0))</f>
        <v>1</v>
      </c>
      <c r="Z105" s="4" t="str">
        <f>IF(ISBLANK(Y105), "geen data", IF(Y105&lt;=AVERAGE($Y$2:$Y$124), 1, 0))</f>
        <v>geen data</v>
      </c>
      <c r="AE105" s="4" t="s">
        <v>227</v>
      </c>
      <c r="AF105" s="18" t="s">
        <v>228</v>
      </c>
    </row>
    <row r="106" spans="1:53" x14ac:dyDescent="0.25">
      <c r="A106" t="s">
        <v>229</v>
      </c>
      <c r="B106" s="4">
        <v>0</v>
      </c>
      <c r="C106" t="s">
        <v>229</v>
      </c>
      <c r="D106" t="s">
        <v>229</v>
      </c>
      <c r="F106" t="s">
        <v>677</v>
      </c>
      <c r="H106" t="s">
        <v>8</v>
      </c>
      <c r="I106">
        <v>1</v>
      </c>
      <c r="J106" t="s">
        <v>25</v>
      </c>
      <c r="K106" t="s">
        <v>230</v>
      </c>
      <c r="L106" t="s">
        <v>231</v>
      </c>
      <c r="M106" t="s">
        <v>26</v>
      </c>
      <c r="O106" t="s">
        <v>35</v>
      </c>
      <c r="T106">
        <v>5</v>
      </c>
      <c r="V106">
        <f>IF(NOT(ISBLANK(T106)), IF(T106&gt;=AVERAGE($T$2:$T$124), 1, 0), IF(NOT(ISBLANK(U106)), IF(U106&gt;=AVERAGE($U$2:$U$124), 1, 0), "geen data"))</f>
        <v>0</v>
      </c>
      <c r="W106">
        <v>0.3</v>
      </c>
      <c r="X106" s="4">
        <f>IF(ISBLANK(W106), "geen data", IF(W106&lt;=AVERAGE($W$2:$W$124), 1, 0))</f>
        <v>0</v>
      </c>
      <c r="Y106">
        <v>0.15</v>
      </c>
      <c r="Z106" s="4">
        <f>IF(ISBLANK(Y106), "geen data", IF(Y106&lt;=AVERAGE($Y$2:$Y$124), 1, 0))</f>
        <v>0</v>
      </c>
      <c r="AB106">
        <v>2011</v>
      </c>
      <c r="AD106" t="s">
        <v>676</v>
      </c>
      <c r="AE106" s="6" t="s">
        <v>232</v>
      </c>
      <c r="AF106" t="s">
        <v>233</v>
      </c>
      <c r="AG106" s="27">
        <v>1</v>
      </c>
      <c r="AH106" s="27"/>
      <c r="AI106" s="27" t="s">
        <v>282</v>
      </c>
      <c r="AJ106" s="27" t="s">
        <v>279</v>
      </c>
      <c r="AK106" s="27" t="s">
        <v>284</v>
      </c>
      <c r="AL106" s="27" t="s">
        <v>285</v>
      </c>
      <c r="AM106" t="s">
        <v>286</v>
      </c>
      <c r="AN106" s="27"/>
      <c r="AO106" t="s">
        <v>280</v>
      </c>
      <c r="AP106" t="s">
        <v>594</v>
      </c>
      <c r="AQ106" t="s">
        <v>274</v>
      </c>
      <c r="AU106" t="s">
        <v>597</v>
      </c>
      <c r="AV106" t="s">
        <v>295</v>
      </c>
      <c r="AX106" t="s">
        <v>573</v>
      </c>
      <c r="BA106" t="s">
        <v>598</v>
      </c>
    </row>
    <row r="107" spans="1:53" ht="14.25" customHeight="1" x14ac:dyDescent="0.25">
      <c r="A107" t="s">
        <v>234</v>
      </c>
      <c r="B107" s="4">
        <v>0</v>
      </c>
      <c r="C107" t="s">
        <v>234</v>
      </c>
      <c r="D107" t="s">
        <v>234</v>
      </c>
      <c r="F107" t="s">
        <v>647</v>
      </c>
      <c r="H107" t="s">
        <v>8</v>
      </c>
      <c r="I107">
        <v>1</v>
      </c>
      <c r="J107" t="s">
        <v>3</v>
      </c>
      <c r="M107" t="s">
        <v>26</v>
      </c>
      <c r="O107" t="s">
        <v>35</v>
      </c>
      <c r="T107">
        <v>2</v>
      </c>
      <c r="U107">
        <v>10</v>
      </c>
      <c r="V107">
        <f>IF(NOT(ISBLANK(T107)), IF(T107&gt;=AVERAGE($T$2:$T$124), 1, 0), IF(NOT(ISBLANK(U107)), IF(U107&gt;=AVERAGE($U$2:$U$124), 1, 0), "geen data"))</f>
        <v>0</v>
      </c>
      <c r="W107">
        <v>0.3</v>
      </c>
      <c r="X107" s="4">
        <f>IF(ISBLANK(W107), "geen data", IF(W107&lt;=AVERAGE($W$2:$W$124), 1, 0))</f>
        <v>0</v>
      </c>
      <c r="Y107">
        <v>0.15</v>
      </c>
      <c r="Z107" s="4">
        <f>IF(ISBLANK(Y107), "geen data", IF(Y107&lt;=AVERAGE($Y$2:$Y$124), 1, 0))</f>
        <v>0</v>
      </c>
      <c r="AA107">
        <v>2011</v>
      </c>
      <c r="AB107">
        <v>2015</v>
      </c>
      <c r="AE107" s="12" t="s">
        <v>235</v>
      </c>
      <c r="AF107" t="s">
        <v>236</v>
      </c>
      <c r="AG107">
        <v>1</v>
      </c>
      <c r="AJ107" t="s">
        <v>279</v>
      </c>
      <c r="AK107" t="s">
        <v>284</v>
      </c>
      <c r="AL107" t="s">
        <v>285</v>
      </c>
      <c r="AM107" t="s">
        <v>286</v>
      </c>
      <c r="AO107" t="s">
        <v>283</v>
      </c>
      <c r="AQ107" t="s">
        <v>274</v>
      </c>
    </row>
    <row r="108" spans="1:53" ht="14.25" customHeight="1" x14ac:dyDescent="0.25">
      <c r="A108" t="s">
        <v>234</v>
      </c>
      <c r="B108" s="4">
        <v>0</v>
      </c>
      <c r="C108" t="s">
        <v>234</v>
      </c>
      <c r="D108" t="s">
        <v>234</v>
      </c>
      <c r="F108" t="s">
        <v>647</v>
      </c>
      <c r="H108" t="s">
        <v>8</v>
      </c>
      <c r="I108">
        <v>2</v>
      </c>
      <c r="J108" t="s">
        <v>3</v>
      </c>
      <c r="M108" t="s">
        <v>26</v>
      </c>
      <c r="O108" t="s">
        <v>35</v>
      </c>
      <c r="T108">
        <v>2</v>
      </c>
      <c r="U108">
        <v>10</v>
      </c>
      <c r="V108">
        <f>IF(NOT(ISBLANK(T108)), IF(T108&gt;=AVERAGE($T$2:$T$124), 1, 0), IF(NOT(ISBLANK(U108)), IF(U108&gt;=AVERAGE($U$2:$U$124), 1, 0), "geen data"))</f>
        <v>0</v>
      </c>
      <c r="W108">
        <v>0.3</v>
      </c>
      <c r="X108" s="4">
        <f>IF(ISBLANK(W108), "geen data", IF(W108&lt;=AVERAGE($W$2:$W$124), 1, 0))</f>
        <v>0</v>
      </c>
      <c r="Y108">
        <v>0.15</v>
      </c>
      <c r="Z108" s="4">
        <f>IF(ISBLANK(Y108), "geen data", IF(Y108&lt;=AVERAGE($Y$2:$Y$124), 1, 0))</f>
        <v>0</v>
      </c>
      <c r="AA108">
        <v>2023</v>
      </c>
      <c r="AB108">
        <v>2025</v>
      </c>
      <c r="AD108" t="s">
        <v>675</v>
      </c>
      <c r="AE108" t="s">
        <v>674</v>
      </c>
      <c r="AF108" t="s">
        <v>236</v>
      </c>
      <c r="AG108">
        <v>1</v>
      </c>
      <c r="AJ108" t="s">
        <v>279</v>
      </c>
      <c r="AK108" t="s">
        <v>284</v>
      </c>
      <c r="AL108" t="s">
        <v>285</v>
      </c>
      <c r="AM108" t="s">
        <v>286</v>
      </c>
      <c r="AO108" t="s">
        <v>283</v>
      </c>
      <c r="AQ108" t="s">
        <v>274</v>
      </c>
    </row>
    <row r="109" spans="1:53" x14ac:dyDescent="0.25">
      <c r="A109" t="s">
        <v>237</v>
      </c>
      <c r="B109" s="4">
        <v>0</v>
      </c>
      <c r="C109" t="s">
        <v>237</v>
      </c>
      <c r="D109" t="s">
        <v>237</v>
      </c>
      <c r="E109" s="6" t="s">
        <v>738</v>
      </c>
      <c r="F109" t="s">
        <v>729</v>
      </c>
      <c r="G109" t="s">
        <v>319</v>
      </c>
      <c r="H109" t="s">
        <v>8</v>
      </c>
      <c r="I109">
        <v>1</v>
      </c>
      <c r="J109" t="s">
        <v>3</v>
      </c>
      <c r="K109" t="s">
        <v>238</v>
      </c>
      <c r="L109" t="s">
        <v>238</v>
      </c>
      <c r="M109" t="s">
        <v>26</v>
      </c>
      <c r="O109" t="s">
        <v>35</v>
      </c>
      <c r="T109">
        <v>0.5</v>
      </c>
      <c r="V109">
        <f>IF(NOT(ISBLANK(T109)), IF(T109&gt;=AVERAGE($T$2:$T$124), 1, 0), IF(NOT(ISBLANK(U109)), IF(U109&gt;=AVERAGE($U$2:$U$124), 1, 0), "geen data"))</f>
        <v>0</v>
      </c>
      <c r="W109">
        <v>0.25</v>
      </c>
      <c r="X109" s="4">
        <f>IF(ISBLANK(W109), "geen data", IF(W109&lt;=AVERAGE($W$2:$W$124), 1, 0))</f>
        <v>1</v>
      </c>
      <c r="Y109">
        <v>0.1</v>
      </c>
      <c r="Z109" s="4">
        <f>IF(ISBLANK(Y109), "geen data", IF(Y109&lt;=AVERAGE($Y$2:$Y$124), 1, 0))</f>
        <v>1</v>
      </c>
      <c r="AA109">
        <v>2008</v>
      </c>
      <c r="AB109">
        <v>2015</v>
      </c>
      <c r="AD109" t="s">
        <v>679</v>
      </c>
      <c r="AE109" s="6" t="s">
        <v>239</v>
      </c>
      <c r="AF109" t="s">
        <v>240</v>
      </c>
      <c r="AG109">
        <v>1</v>
      </c>
      <c r="AH109" t="s">
        <v>599</v>
      </c>
      <c r="AP109" t="s">
        <v>594</v>
      </c>
      <c r="AS109" t="s">
        <v>600</v>
      </c>
      <c r="BA109" t="s">
        <v>601</v>
      </c>
    </row>
    <row r="110" spans="1:53" x14ac:dyDescent="0.25">
      <c r="A110" t="s">
        <v>237</v>
      </c>
      <c r="B110" s="4">
        <v>0</v>
      </c>
      <c r="C110" t="s">
        <v>237</v>
      </c>
      <c r="D110" t="s">
        <v>237</v>
      </c>
      <c r="E110" s="6" t="s">
        <v>738</v>
      </c>
      <c r="F110" t="s">
        <v>730</v>
      </c>
      <c r="G110" t="s">
        <v>319</v>
      </c>
      <c r="H110" t="s">
        <v>8</v>
      </c>
      <c r="I110">
        <v>2</v>
      </c>
      <c r="J110" t="s">
        <v>3</v>
      </c>
      <c r="K110" t="s">
        <v>238</v>
      </c>
      <c r="L110" t="s">
        <v>238</v>
      </c>
      <c r="M110" t="s">
        <v>26</v>
      </c>
      <c r="O110" t="s">
        <v>35</v>
      </c>
      <c r="T110">
        <v>0.5</v>
      </c>
      <c r="V110">
        <f>IF(NOT(ISBLANK(T110)), IF(T110&gt;=AVERAGE($T$2:$T$124), 1, 0), IF(NOT(ISBLANK(U110)), IF(U110&gt;=AVERAGE($U$2:$U$124), 1, 0), "geen data"))</f>
        <v>0</v>
      </c>
      <c r="W110">
        <v>0.25</v>
      </c>
      <c r="X110" s="4">
        <f>IF(ISBLANK(W110), "geen data", IF(W110&lt;=AVERAGE($W$2:$W$124), 1, 0))</f>
        <v>1</v>
      </c>
      <c r="Y110">
        <v>0.1</v>
      </c>
      <c r="Z110" s="4">
        <f>IF(ISBLANK(Y110), "geen data", IF(Y110&lt;=AVERAGE($Y$2:$Y$124), 1, 0))</f>
        <v>1</v>
      </c>
      <c r="AA110">
        <v>2015</v>
      </c>
      <c r="AB110">
        <v>2022</v>
      </c>
      <c r="AD110" t="s">
        <v>678</v>
      </c>
      <c r="AE110" s="6" t="s">
        <v>239</v>
      </c>
      <c r="AF110" t="s">
        <v>240</v>
      </c>
      <c r="AG110">
        <v>1</v>
      </c>
      <c r="AH110" t="s">
        <v>599</v>
      </c>
      <c r="AP110" t="s">
        <v>594</v>
      </c>
      <c r="AS110" t="s">
        <v>600</v>
      </c>
      <c r="BA110" t="s">
        <v>601</v>
      </c>
    </row>
    <row r="111" spans="1:53" x14ac:dyDescent="0.25">
      <c r="A111" t="s">
        <v>237</v>
      </c>
      <c r="B111" s="4">
        <v>0</v>
      </c>
      <c r="C111" t="s">
        <v>237</v>
      </c>
      <c r="D111" t="s">
        <v>237</v>
      </c>
      <c r="E111" s="6" t="s">
        <v>738</v>
      </c>
      <c r="F111" t="s">
        <v>731</v>
      </c>
      <c r="G111" t="s">
        <v>319</v>
      </c>
      <c r="H111" t="s">
        <v>8</v>
      </c>
      <c r="I111">
        <v>3</v>
      </c>
      <c r="J111" t="s">
        <v>3</v>
      </c>
      <c r="K111" t="s">
        <v>238</v>
      </c>
      <c r="L111" t="s">
        <v>238</v>
      </c>
      <c r="M111" t="s">
        <v>26</v>
      </c>
      <c r="O111" t="s">
        <v>35</v>
      </c>
      <c r="T111">
        <v>5</v>
      </c>
      <c r="V111">
        <f>IF(NOT(ISBLANK(T111)), IF(T111&gt;=AVERAGE($T$2:$T$124), 1, 0), IF(NOT(ISBLANK(U111)), IF(U111&gt;=AVERAGE($U$2:$U$124), 1, 0), "geen data"))</f>
        <v>0</v>
      </c>
      <c r="W111">
        <v>0.25</v>
      </c>
      <c r="X111" s="4">
        <f>IF(ISBLANK(W111), "geen data", IF(W111&lt;=AVERAGE($W$2:$W$124), 1, 0))</f>
        <v>1</v>
      </c>
      <c r="Y111">
        <v>0.1</v>
      </c>
      <c r="Z111" s="4">
        <f>IF(ISBLANK(Y111), "geen data", IF(Y111&lt;=AVERAGE($Y$2:$Y$124), 1, 0))</f>
        <v>1</v>
      </c>
      <c r="AA111">
        <v>2022</v>
      </c>
      <c r="AB111">
        <v>2025</v>
      </c>
      <c r="AD111" t="s">
        <v>680</v>
      </c>
      <c r="AE111" s="6" t="s">
        <v>239</v>
      </c>
      <c r="AF111" t="s">
        <v>240</v>
      </c>
      <c r="AG111">
        <v>1</v>
      </c>
      <c r="AH111" t="s">
        <v>599</v>
      </c>
      <c r="AP111" t="s">
        <v>594</v>
      </c>
      <c r="AS111" t="s">
        <v>600</v>
      </c>
      <c r="BA111" t="s">
        <v>601</v>
      </c>
    </row>
    <row r="112" spans="1:53" x14ac:dyDescent="0.25">
      <c r="A112" t="s">
        <v>241</v>
      </c>
      <c r="B112" s="4">
        <v>1</v>
      </c>
      <c r="C112" t="s">
        <v>237</v>
      </c>
      <c r="D112" t="s">
        <v>241</v>
      </c>
      <c r="F112" t="s">
        <v>649</v>
      </c>
      <c r="H112" t="s">
        <v>661</v>
      </c>
      <c r="I112">
        <v>1</v>
      </c>
      <c r="J112" t="s">
        <v>25</v>
      </c>
      <c r="M112" t="s">
        <v>26</v>
      </c>
      <c r="O112" t="s">
        <v>35</v>
      </c>
      <c r="T112">
        <v>2</v>
      </c>
      <c r="V112">
        <f>IF(NOT(ISBLANK(T112)), IF(T112&gt;=AVERAGE($T$2:$T$124), 1, 0), IF(NOT(ISBLANK(U112)), IF(U112&gt;=AVERAGE($U$2:$U$124), 1, 0), "geen data"))</f>
        <v>0</v>
      </c>
      <c r="X112" s="4" t="str">
        <f>IF(ISBLANK(W112), "geen data", IF(W112&lt;=AVERAGE($W$2:$W$124), 1, 0))</f>
        <v>geen data</v>
      </c>
      <c r="Z112" s="4" t="str">
        <f>IF(ISBLANK(Y112), "geen data", IF(Y112&lt;=AVERAGE($Y$2:$Y$124), 1, 0))</f>
        <v>geen data</v>
      </c>
      <c r="AB112">
        <v>2008</v>
      </c>
      <c r="AE112" s="10" t="s">
        <v>242</v>
      </c>
      <c r="AF112" t="s">
        <v>243</v>
      </c>
    </row>
    <row r="113" spans="1:55" x14ac:dyDescent="0.25">
      <c r="A113" t="s">
        <v>244</v>
      </c>
      <c r="B113" s="4" t="s">
        <v>618</v>
      </c>
      <c r="C113" t="s">
        <v>237</v>
      </c>
      <c r="D113" t="s">
        <v>244</v>
      </c>
      <c r="E113" t="s">
        <v>688</v>
      </c>
      <c r="F113" t="s">
        <v>689</v>
      </c>
      <c r="G113" s="6" t="s">
        <v>690</v>
      </c>
      <c r="H113" t="s">
        <v>661</v>
      </c>
      <c r="I113">
        <v>1</v>
      </c>
      <c r="J113" t="s">
        <v>25</v>
      </c>
      <c r="K113" s="29" t="s">
        <v>687</v>
      </c>
      <c r="M113" t="s">
        <v>26</v>
      </c>
      <c r="O113" t="s">
        <v>35</v>
      </c>
      <c r="U113">
        <v>100</v>
      </c>
      <c r="V113">
        <f>IF(NOT(ISBLANK(T113)), IF(T113&gt;=AVERAGE($T$2:$T$124), 1, 0), IF(NOT(ISBLANK(U113)), IF(U113&gt;=AVERAGE($U$2:$U$124), 1, 0), "geen data"))</f>
        <v>1</v>
      </c>
      <c r="W113">
        <v>0.1</v>
      </c>
      <c r="X113" s="4"/>
      <c r="Y113">
        <v>0.1</v>
      </c>
      <c r="Z113" s="4"/>
      <c r="AB113">
        <v>2023</v>
      </c>
      <c r="AE113" s="10" t="s">
        <v>245</v>
      </c>
      <c r="AI113" t="s">
        <v>681</v>
      </c>
      <c r="AJ113" t="s">
        <v>682</v>
      </c>
      <c r="AK113" t="s">
        <v>683</v>
      </c>
      <c r="AL113" t="s">
        <v>684</v>
      </c>
      <c r="AN113" t="s">
        <v>685</v>
      </c>
      <c r="AO113" t="s">
        <v>686</v>
      </c>
    </row>
    <row r="114" spans="1:55" ht="28.5" customHeight="1" x14ac:dyDescent="0.25">
      <c r="A114" t="s">
        <v>246</v>
      </c>
      <c r="B114" s="4">
        <v>1</v>
      </c>
      <c r="C114" t="s">
        <v>237</v>
      </c>
      <c r="D114" t="s">
        <v>246</v>
      </c>
      <c r="F114" t="s">
        <v>648</v>
      </c>
      <c r="G114" t="s">
        <v>319</v>
      </c>
      <c r="H114" t="s">
        <v>661</v>
      </c>
      <c r="I114">
        <v>1</v>
      </c>
      <c r="J114" t="s">
        <v>25</v>
      </c>
      <c r="M114" t="s">
        <v>26</v>
      </c>
      <c r="O114" t="s">
        <v>35</v>
      </c>
      <c r="T114">
        <v>8</v>
      </c>
      <c r="V114">
        <f>IF(NOT(ISBLANK(T114)), IF(T114&gt;=AVERAGE($T$2:$T$124), 1, 0), IF(NOT(ISBLANK(U114)), IF(U114&gt;=AVERAGE($U$2:$U$124), 1, 0), "geen data"))</f>
        <v>1</v>
      </c>
      <c r="X114" s="4" t="str">
        <f>IF(ISBLANK(W114), "geen data", IF(W114&lt;=AVERAGE($W$2:$W$124), 1, 0))</f>
        <v>geen data</v>
      </c>
      <c r="Y114">
        <v>0.15</v>
      </c>
      <c r="Z114" s="4">
        <f>IF(ISBLANK(Y114), "geen data", IF(Y114&lt;=AVERAGE($Y$2:$Y$124), 1, 0))</f>
        <v>0</v>
      </c>
      <c r="AA114">
        <v>2021</v>
      </c>
      <c r="AB114">
        <v>2023</v>
      </c>
      <c r="AD114" t="s">
        <v>691</v>
      </c>
      <c r="AE114" s="6" t="s">
        <v>247</v>
      </c>
      <c r="AF114" s="13" t="s">
        <v>37</v>
      </c>
      <c r="AI114" s="27" t="s">
        <v>282</v>
      </c>
    </row>
    <row r="115" spans="1:55" x14ac:dyDescent="0.25">
      <c r="A115" t="s">
        <v>248</v>
      </c>
      <c r="B115" s="4">
        <v>0</v>
      </c>
      <c r="C115" t="s">
        <v>248</v>
      </c>
      <c r="D115" t="s">
        <v>248</v>
      </c>
      <c r="E115" t="s">
        <v>695</v>
      </c>
      <c r="F115" t="s">
        <v>650</v>
      </c>
      <c r="G115" t="s">
        <v>698</v>
      </c>
      <c r="H115" t="s">
        <v>8</v>
      </c>
      <c r="I115">
        <v>2</v>
      </c>
      <c r="J115" t="s">
        <v>3</v>
      </c>
      <c r="K115" t="s">
        <v>249</v>
      </c>
      <c r="L115" t="s">
        <v>249</v>
      </c>
      <c r="M115" t="s">
        <v>26</v>
      </c>
      <c r="N115" t="s">
        <v>697</v>
      </c>
      <c r="O115" t="s">
        <v>35</v>
      </c>
      <c r="T115">
        <v>1</v>
      </c>
      <c r="U115">
        <v>2</v>
      </c>
      <c r="V115">
        <f>IF(NOT(ISBLANK(T115)), IF(T115&gt;=AVERAGE($T$2:$T$124), 1, 0), IF(NOT(ISBLANK(U115)), IF(U115&gt;=AVERAGE($U$2:$U$124), 1, 0), "geen data"))</f>
        <v>0</v>
      </c>
      <c r="W115">
        <v>0.2</v>
      </c>
      <c r="X115" s="4">
        <f>IF(ISBLANK(W115), "geen data", IF(W115&lt;=AVERAGE($W$2:$W$124), 1, 0))</f>
        <v>1</v>
      </c>
      <c r="Y115">
        <v>0.05</v>
      </c>
      <c r="Z115" s="4">
        <f>IF(ISBLANK(Y115), "geen data", IF(Y115&lt;=AVERAGE($Y$2:$Y$124), 1, 0))</f>
        <v>1</v>
      </c>
      <c r="AA115">
        <v>2009</v>
      </c>
      <c r="AB115">
        <v>2019</v>
      </c>
      <c r="AD115" s="6" t="s">
        <v>696</v>
      </c>
      <c r="AF115" t="s">
        <v>250</v>
      </c>
      <c r="AG115">
        <v>1</v>
      </c>
      <c r="AI115" t="s">
        <v>589</v>
      </c>
      <c r="AJ115" t="s">
        <v>602</v>
      </c>
      <c r="AQ115" t="s">
        <v>274</v>
      </c>
      <c r="AX115" t="s">
        <v>573</v>
      </c>
    </row>
    <row r="116" spans="1:55" x14ac:dyDescent="0.25">
      <c r="A116" t="s">
        <v>248</v>
      </c>
      <c r="B116" s="4">
        <v>0</v>
      </c>
      <c r="C116" t="s">
        <v>248</v>
      </c>
      <c r="D116" t="s">
        <v>248</v>
      </c>
      <c r="E116" t="s">
        <v>694</v>
      </c>
      <c r="F116" t="s">
        <v>651</v>
      </c>
      <c r="G116" t="s">
        <v>698</v>
      </c>
      <c r="H116" t="s">
        <v>8</v>
      </c>
      <c r="I116">
        <v>0</v>
      </c>
      <c r="J116" t="s">
        <v>3</v>
      </c>
      <c r="K116" t="s">
        <v>249</v>
      </c>
      <c r="L116" t="s">
        <v>249</v>
      </c>
      <c r="M116" t="s">
        <v>26</v>
      </c>
      <c r="N116" t="s">
        <v>697</v>
      </c>
      <c r="O116" t="s">
        <v>35</v>
      </c>
      <c r="T116">
        <v>1</v>
      </c>
      <c r="U116">
        <v>2</v>
      </c>
      <c r="V116">
        <f>IF(NOT(ISBLANK(T116)), IF(T116&gt;=AVERAGE($T$2:$T$124), 1, 0), IF(NOT(ISBLANK(U116)), IF(U116&gt;=AVERAGE($U$2:$U$124), 1, 0), "geen data"))</f>
        <v>0</v>
      </c>
      <c r="W116">
        <v>0.2</v>
      </c>
      <c r="X116" s="4">
        <f>IF(ISBLANK(W116), "geen data", IF(W116&lt;=AVERAGE($W$2:$W$124), 1, 0))</f>
        <v>1</v>
      </c>
      <c r="Y116">
        <v>0.05</v>
      </c>
      <c r="Z116" s="4">
        <f>IF(ISBLANK(Y116), "geen data", IF(Y116&lt;=AVERAGE($Y$2:$Y$124), 1, 0))</f>
        <v>1</v>
      </c>
      <c r="AA116">
        <v>2018</v>
      </c>
      <c r="AB116" t="s">
        <v>693</v>
      </c>
      <c r="AD116" s="6" t="s">
        <v>692</v>
      </c>
      <c r="AF116" t="s">
        <v>250</v>
      </c>
      <c r="AG116">
        <v>1</v>
      </c>
      <c r="AI116" t="s">
        <v>589</v>
      </c>
      <c r="AJ116" t="s">
        <v>602</v>
      </c>
      <c r="AK116" t="s">
        <v>284</v>
      </c>
      <c r="AO116" t="s">
        <v>280</v>
      </c>
      <c r="AP116" t="s">
        <v>594</v>
      </c>
      <c r="AQ116" t="s">
        <v>274</v>
      </c>
      <c r="BA116" t="s">
        <v>603</v>
      </c>
    </row>
    <row r="117" spans="1:55" ht="75" x14ac:dyDescent="0.25">
      <c r="A117" t="s">
        <v>251</v>
      </c>
      <c r="B117" s="4">
        <v>0</v>
      </c>
      <c r="C117" t="s">
        <v>251</v>
      </c>
      <c r="D117" t="s">
        <v>251</v>
      </c>
      <c r="E117" t="s">
        <v>652</v>
      </c>
      <c r="F117" t="s">
        <v>640</v>
      </c>
      <c r="H117" t="s">
        <v>8</v>
      </c>
      <c r="I117">
        <v>1</v>
      </c>
      <c r="J117" t="s">
        <v>3</v>
      </c>
      <c r="K117" t="s">
        <v>252</v>
      </c>
      <c r="L117" t="s">
        <v>253</v>
      </c>
      <c r="M117" t="s">
        <v>26</v>
      </c>
      <c r="O117" t="s">
        <v>35</v>
      </c>
      <c r="T117">
        <v>5</v>
      </c>
      <c r="U117">
        <v>15</v>
      </c>
      <c r="V117">
        <f>IF(NOT(ISBLANK(T117)), IF(T117&gt;=AVERAGE($T$2:$T$124), 1, 0), IF(NOT(ISBLANK(U117)), IF(U117&gt;=AVERAGE($U$2:$U$124), 1, 0), "geen data"))</f>
        <v>0</v>
      </c>
      <c r="W117">
        <v>0.2</v>
      </c>
      <c r="X117" s="4">
        <f>IF(ISBLANK(W117), "geen data", IF(W117&lt;=AVERAGE($W$2:$W$124), 1, 0))</f>
        <v>1</v>
      </c>
      <c r="Y117">
        <v>0.1</v>
      </c>
      <c r="Z117" s="4">
        <f>IF(ISBLANK(Y117), "geen data", IF(Y117&lt;=AVERAGE($Y$2:$Y$124), 1, 0))</f>
        <v>1</v>
      </c>
      <c r="AB117">
        <v>2024</v>
      </c>
      <c r="AE117" s="6" t="s">
        <v>254</v>
      </c>
      <c r="AF117" t="s">
        <v>255</v>
      </c>
      <c r="AG117">
        <v>1</v>
      </c>
      <c r="AI117" t="s">
        <v>589</v>
      </c>
      <c r="AJ117" t="s">
        <v>279</v>
      </c>
      <c r="AK117" s="15" t="s">
        <v>699</v>
      </c>
      <c r="AO117" t="s">
        <v>280</v>
      </c>
      <c r="AQ117" t="s">
        <v>274</v>
      </c>
      <c r="AU117" s="29" t="s">
        <v>701</v>
      </c>
      <c r="AV117" s="15" t="s">
        <v>702</v>
      </c>
      <c r="AX117" t="s">
        <v>705</v>
      </c>
      <c r="BA117" t="s">
        <v>704</v>
      </c>
    </row>
    <row r="118" spans="1:55" ht="75" x14ac:dyDescent="0.25">
      <c r="A118" t="s">
        <v>251</v>
      </c>
      <c r="B118" s="4">
        <v>0</v>
      </c>
      <c r="C118" t="s">
        <v>251</v>
      </c>
      <c r="D118" t="s">
        <v>251</v>
      </c>
      <c r="E118" t="s">
        <v>652</v>
      </c>
      <c r="F118" t="s">
        <v>640</v>
      </c>
      <c r="G118" t="s">
        <v>706</v>
      </c>
      <c r="H118" t="s">
        <v>8</v>
      </c>
      <c r="I118">
        <v>2</v>
      </c>
      <c r="J118" t="s">
        <v>3</v>
      </c>
      <c r="K118" t="s">
        <v>252</v>
      </c>
      <c r="L118" t="s">
        <v>253</v>
      </c>
      <c r="M118" t="s">
        <v>26</v>
      </c>
      <c r="O118" t="s">
        <v>35</v>
      </c>
      <c r="T118">
        <v>15</v>
      </c>
      <c r="U118">
        <v>40</v>
      </c>
      <c r="V118">
        <f>IF(NOT(ISBLANK(T118)), IF(T118&gt;=AVERAGE($T$2:$T$124), 1, 0), IF(NOT(ISBLANK(U118)), IF(U118&gt;=AVERAGE($U$2:$U$124), 1, 0), "geen data"))</f>
        <v>1</v>
      </c>
      <c r="W118">
        <v>0.2</v>
      </c>
      <c r="X118" s="4">
        <f>IF(ISBLANK(W118), "geen data", IF(W118&lt;=AVERAGE($W$2:$W$124), 1, 0))</f>
        <v>1</v>
      </c>
      <c r="Y118">
        <v>0.1</v>
      </c>
      <c r="Z118" s="4">
        <f>IF(ISBLANK(Y118), "geen data", IF(Y118&lt;=AVERAGE($Y$2:$Y$124), 1, 0))</f>
        <v>1</v>
      </c>
      <c r="AA118">
        <v>2024</v>
      </c>
      <c r="AB118" t="s">
        <v>693</v>
      </c>
      <c r="AE118" s="6" t="s">
        <v>254</v>
      </c>
      <c r="AF118" t="s">
        <v>255</v>
      </c>
      <c r="AG118">
        <v>1</v>
      </c>
      <c r="AI118" t="s">
        <v>589</v>
      </c>
      <c r="AJ118" t="s">
        <v>279</v>
      </c>
      <c r="AK118" s="15" t="s">
        <v>699</v>
      </c>
      <c r="AO118" t="s">
        <v>700</v>
      </c>
      <c r="AQ118" t="s">
        <v>274</v>
      </c>
      <c r="AU118" s="29" t="s">
        <v>701</v>
      </c>
      <c r="AV118" s="15" t="s">
        <v>702</v>
      </c>
      <c r="AX118" t="s">
        <v>703</v>
      </c>
      <c r="BA118" t="s">
        <v>704</v>
      </c>
    </row>
    <row r="119" spans="1:55" s="4" customFormat="1" x14ac:dyDescent="0.25">
      <c r="A119" s="4" t="s">
        <v>256</v>
      </c>
      <c r="B119" s="4">
        <v>0</v>
      </c>
      <c r="C119" s="4" t="s">
        <v>256</v>
      </c>
      <c r="D119" s="4" t="s">
        <v>256</v>
      </c>
      <c r="V119" t="str">
        <f>IF(NOT(ISBLANK(T119)), IF(T119&gt;=AVERAGE($T$2:$T$124), 1, 0), IF(NOT(ISBLANK(U119)), IF(U119&gt;=AVERAGE($U$2:$U$124), 1, 0), "geen data"))</f>
        <v>geen data</v>
      </c>
      <c r="X119" s="4" t="str">
        <f>IF(ISBLANK(W119), "geen data", IF(W119&lt;=AVERAGE($W$2:$W$124), 1, 0))</f>
        <v>geen data</v>
      </c>
      <c r="Z119" s="4" t="str">
        <f>IF(ISBLANK(Y119), "geen data", IF(Y119&lt;=AVERAGE($Y$2:$Y$124), 1, 0))</f>
        <v>geen data</v>
      </c>
      <c r="AF119" s="4" t="s">
        <v>18</v>
      </c>
      <c r="AG119" s="22"/>
      <c r="AH119" s="22"/>
      <c r="AI119" s="22"/>
      <c r="AJ119" s="22"/>
      <c r="AK119" s="22"/>
      <c r="AL119" s="22"/>
      <c r="AM119" s="22"/>
      <c r="AN119" s="22"/>
      <c r="AO119" s="22"/>
      <c r="AP119" s="22"/>
      <c r="AQ119" s="22"/>
      <c r="AR119" s="22"/>
      <c r="AS119" s="22"/>
      <c r="AT119" s="22"/>
      <c r="AU119" s="22"/>
      <c r="AV119" s="22"/>
      <c r="AW119" s="22"/>
      <c r="AX119" s="22"/>
      <c r="AY119" s="22"/>
      <c r="BA119" s="22"/>
      <c r="BC119" s="22"/>
    </row>
    <row r="120" spans="1:55" ht="30" customHeight="1" x14ac:dyDescent="0.25">
      <c r="A120" t="s">
        <v>257</v>
      </c>
      <c r="B120" s="4">
        <v>0</v>
      </c>
      <c r="C120" t="s">
        <v>257</v>
      </c>
      <c r="D120" t="s">
        <v>257</v>
      </c>
      <c r="J120" t="s">
        <v>25</v>
      </c>
      <c r="M120" t="s">
        <v>22</v>
      </c>
      <c r="V120" t="str">
        <f>IF(NOT(ISBLANK(T120)), IF(T120&gt;=AVERAGE($T$2:$T$124), 1, 0), IF(NOT(ISBLANK(U120)), IF(U120&gt;=AVERAGE($U$2:$U$124), 1, 0), "geen data"))</f>
        <v>geen data</v>
      </c>
      <c r="X120" s="4" t="str">
        <f>IF(ISBLANK(W120), "geen data", IF(W120&lt;=AVERAGE($W$2:$W$124), 1, 0))</f>
        <v>geen data</v>
      </c>
      <c r="Z120" s="4" t="str">
        <f>IF(ISBLANK(Y120), "geen data", IF(Y120&lt;=AVERAGE($Y$2:$Y$124), 1, 0))</f>
        <v>geen data</v>
      </c>
      <c r="AF120" t="s">
        <v>258</v>
      </c>
    </row>
    <row r="121" spans="1:55" ht="30" customHeight="1" x14ac:dyDescent="0.25">
      <c r="A121" t="s">
        <v>259</v>
      </c>
      <c r="B121" s="4">
        <v>1</v>
      </c>
      <c r="C121" t="s">
        <v>257</v>
      </c>
      <c r="D121" t="s">
        <v>259</v>
      </c>
      <c r="E121" t="s">
        <v>654</v>
      </c>
      <c r="F121" t="s">
        <v>653</v>
      </c>
      <c r="G121" t="s">
        <v>707</v>
      </c>
      <c r="H121" t="s">
        <v>661</v>
      </c>
      <c r="I121">
        <v>1</v>
      </c>
      <c r="J121" t="s">
        <v>25</v>
      </c>
      <c r="K121" t="s">
        <v>260</v>
      </c>
      <c r="L121" t="s">
        <v>261</v>
      </c>
      <c r="M121" t="s">
        <v>26</v>
      </c>
      <c r="O121" t="s">
        <v>35</v>
      </c>
      <c r="T121">
        <v>1</v>
      </c>
      <c r="U121">
        <v>16</v>
      </c>
      <c r="V121">
        <f>IF(NOT(ISBLANK(T121)), IF(T121&gt;=AVERAGE($T$2:$T$124), 1, 0), IF(NOT(ISBLANK(U121)), IF(U121&gt;=AVERAGE($U$2:$U$124), 1, 0), "geen data"))</f>
        <v>0</v>
      </c>
      <c r="W121">
        <v>0.4</v>
      </c>
      <c r="X121" s="4">
        <f>IF(ISBLANK(W121), "geen data", IF(W121&lt;=AVERAGE($W$2:$W$124), 1, 0))</f>
        <v>0</v>
      </c>
      <c r="Y121">
        <v>0.05</v>
      </c>
      <c r="Z121" s="4">
        <f>IF(ISBLANK(Y121), "geen data", IF(Y121&lt;=AVERAGE($Y$2:$Y$124), 1, 0))</f>
        <v>1</v>
      </c>
      <c r="AB121">
        <v>2023</v>
      </c>
      <c r="AE121" t="s">
        <v>262</v>
      </c>
      <c r="AF121" s="15" t="s">
        <v>263</v>
      </c>
      <c r="AG121" s="27">
        <v>1</v>
      </c>
      <c r="AH121" s="27"/>
      <c r="AI121" s="27" t="s">
        <v>604</v>
      </c>
      <c r="AJ121" s="27" t="s">
        <v>279</v>
      </c>
      <c r="AK121" s="27" t="s">
        <v>605</v>
      </c>
      <c r="AL121" t="s">
        <v>606</v>
      </c>
      <c r="AM121" s="27" t="s">
        <v>607</v>
      </c>
      <c r="AO121" t="s">
        <v>283</v>
      </c>
      <c r="BA121" t="s">
        <v>608</v>
      </c>
    </row>
    <row r="122" spans="1:55" x14ac:dyDescent="0.25">
      <c r="A122" t="s">
        <v>264</v>
      </c>
      <c r="B122" s="4">
        <v>1</v>
      </c>
      <c r="C122" t="s">
        <v>257</v>
      </c>
      <c r="D122" t="s">
        <v>264</v>
      </c>
      <c r="E122" t="s">
        <v>655</v>
      </c>
      <c r="F122" t="s">
        <v>656</v>
      </c>
      <c r="G122" t="s">
        <v>708</v>
      </c>
      <c r="H122" t="s">
        <v>661</v>
      </c>
      <c r="I122">
        <v>1</v>
      </c>
      <c r="J122" t="s">
        <v>25</v>
      </c>
      <c r="K122" t="s">
        <v>260</v>
      </c>
      <c r="L122" t="s">
        <v>261</v>
      </c>
      <c r="M122" t="s">
        <v>342</v>
      </c>
      <c r="O122" t="s">
        <v>35</v>
      </c>
      <c r="P122">
        <v>1</v>
      </c>
      <c r="R122">
        <v>1</v>
      </c>
      <c r="T122">
        <v>4</v>
      </c>
      <c r="V122">
        <f>IF(NOT(ISBLANK(T122)), IF(T122&gt;=AVERAGE($T$2:$T$124), 1, 0), IF(NOT(ISBLANK(U122)), IF(U122&gt;=AVERAGE($U$2:$U$124), 1, 0), "geen data"))</f>
        <v>0</v>
      </c>
      <c r="W122">
        <v>0.05</v>
      </c>
      <c r="X122" s="4">
        <f>IF(ISBLANK(W122), "geen data", IF(W122&lt;=AVERAGE($W$2:$W$124), 1, 0))</f>
        <v>1</v>
      </c>
      <c r="Y122">
        <v>0.1</v>
      </c>
      <c r="Z122" s="4">
        <f>IF(ISBLANK(Y122), "geen data", IF(Y122&lt;=AVERAGE($Y$2:$Y$124), 1, 0))</f>
        <v>1</v>
      </c>
      <c r="AA122">
        <v>2011</v>
      </c>
      <c r="AB122">
        <v>2023</v>
      </c>
      <c r="AE122" t="s">
        <v>265</v>
      </c>
      <c r="AF122" t="s">
        <v>266</v>
      </c>
      <c r="AG122" s="27">
        <v>1</v>
      </c>
      <c r="AH122" s="27"/>
      <c r="AI122" s="27"/>
      <c r="AJ122" s="27" t="s">
        <v>279</v>
      </c>
      <c r="AK122" s="27" t="s">
        <v>284</v>
      </c>
      <c r="AL122" s="27" t="s">
        <v>285</v>
      </c>
      <c r="AM122" t="s">
        <v>286</v>
      </c>
      <c r="AO122" t="s">
        <v>283</v>
      </c>
      <c r="AP122" t="s">
        <v>278</v>
      </c>
    </row>
    <row r="123" spans="1:55" x14ac:dyDescent="0.25">
      <c r="A123" t="s">
        <v>267</v>
      </c>
      <c r="B123" s="4">
        <v>1</v>
      </c>
      <c r="C123" t="s">
        <v>257</v>
      </c>
      <c r="D123" t="s">
        <v>267</v>
      </c>
      <c r="E123" t="s">
        <v>657</v>
      </c>
      <c r="F123" t="s">
        <v>658</v>
      </c>
      <c r="H123" t="s">
        <v>661</v>
      </c>
      <c r="I123">
        <v>1</v>
      </c>
      <c r="J123" t="s">
        <v>25</v>
      </c>
      <c r="K123" t="s">
        <v>260</v>
      </c>
      <c r="L123" t="s">
        <v>261</v>
      </c>
      <c r="M123" t="s">
        <v>39</v>
      </c>
      <c r="N123" t="s">
        <v>709</v>
      </c>
      <c r="O123" t="s">
        <v>268</v>
      </c>
      <c r="V123" t="str">
        <f>IF(NOT(ISBLANK(T123)), IF(T123&gt;=AVERAGE($T$2:$T$124), 1, 0), IF(NOT(ISBLANK(U123)), IF(U123&gt;=AVERAGE($U$2:$U$124), 1, 0), "geen data"))</f>
        <v>geen data</v>
      </c>
      <c r="X123" s="4" t="str">
        <f>IF(ISBLANK(W123), "geen data", IF(W123&lt;=AVERAGE($W$2:$W$124), 1, 0))</f>
        <v>geen data</v>
      </c>
      <c r="Y123">
        <v>0.65900000000000003</v>
      </c>
      <c r="Z123" s="4">
        <f>IF(ISBLANK(Y123), "geen data", IF(Y123&lt;=AVERAGE($Y$2:$Y$124), 1, 0))</f>
        <v>0</v>
      </c>
      <c r="AB123">
        <v>2024</v>
      </c>
      <c r="AE123" s="10" t="s">
        <v>269</v>
      </c>
      <c r="AF123" t="s">
        <v>270</v>
      </c>
      <c r="AG123">
        <v>1</v>
      </c>
      <c r="AJ123" t="s">
        <v>279</v>
      </c>
      <c r="AK123" t="s">
        <v>605</v>
      </c>
      <c r="AL123" t="s">
        <v>606</v>
      </c>
      <c r="AM123" t="s">
        <v>607</v>
      </c>
      <c r="AO123" t="s">
        <v>283</v>
      </c>
    </row>
    <row r="124" spans="1:55" x14ac:dyDescent="0.25">
      <c r="A124" t="s">
        <v>271</v>
      </c>
      <c r="B124" s="4">
        <v>1</v>
      </c>
      <c r="C124" t="s">
        <v>257</v>
      </c>
      <c r="D124" t="s">
        <v>271</v>
      </c>
      <c r="F124" t="s">
        <v>710</v>
      </c>
      <c r="H124" t="s">
        <v>661</v>
      </c>
      <c r="I124">
        <v>1</v>
      </c>
      <c r="J124" t="s">
        <v>25</v>
      </c>
      <c r="K124" t="s">
        <v>260</v>
      </c>
      <c r="L124" t="s">
        <v>261</v>
      </c>
      <c r="M124" t="s">
        <v>39</v>
      </c>
      <c r="O124" t="s">
        <v>35</v>
      </c>
      <c r="P124">
        <v>1</v>
      </c>
      <c r="Q124">
        <v>1</v>
      </c>
      <c r="R124">
        <v>1</v>
      </c>
      <c r="S124">
        <v>1</v>
      </c>
      <c r="T124">
        <v>1</v>
      </c>
      <c r="U124">
        <v>2</v>
      </c>
      <c r="V124">
        <f>IF(NOT(ISBLANK(T124)), IF(T124&gt;=AVERAGE($T$2:$T$124), 1, 0), IF(NOT(ISBLANK(U124)), IF(U124&gt;=AVERAGE($U$2:$U$124), 1, 0), "geen data"))</f>
        <v>0</v>
      </c>
      <c r="W124">
        <v>1</v>
      </c>
      <c r="X124" s="4">
        <f>IF(ISBLANK(W124), "geen data", IF(W124&lt;=AVERAGE($W$2:$W$124), 1, 0))</f>
        <v>0</v>
      </c>
      <c r="Y124">
        <v>0.1</v>
      </c>
      <c r="Z124" s="4">
        <f>IF(ISBLANK(Y124), "geen data", IF(Y124&lt;=AVERAGE($Y$2:$Y$124), 1, 0))</f>
        <v>1</v>
      </c>
      <c r="AA124">
        <v>2020</v>
      </c>
      <c r="AB124">
        <v>2023</v>
      </c>
      <c r="AD124" t="s">
        <v>712</v>
      </c>
      <c r="AE124" t="s">
        <v>711</v>
      </c>
      <c r="AF124" t="s">
        <v>272</v>
      </c>
    </row>
    <row r="125" spans="1:55" ht="14.25" customHeight="1" x14ac:dyDescent="0.25">
      <c r="A125" t="s">
        <v>237</v>
      </c>
      <c r="B125" s="22" t="s">
        <v>618</v>
      </c>
      <c r="C125" t="s">
        <v>237</v>
      </c>
      <c r="D125" t="s">
        <v>381</v>
      </c>
      <c r="F125" t="s">
        <v>380</v>
      </c>
      <c r="G125" t="s">
        <v>382</v>
      </c>
      <c r="H125" t="s">
        <v>660</v>
      </c>
      <c r="I125">
        <v>1</v>
      </c>
      <c r="J125" t="s">
        <v>25</v>
      </c>
      <c r="K125" t="s">
        <v>383</v>
      </c>
      <c r="M125" t="s">
        <v>39</v>
      </c>
      <c r="N125" t="s">
        <v>322</v>
      </c>
      <c r="O125" t="s">
        <v>35</v>
      </c>
      <c r="U125" t="s">
        <v>384</v>
      </c>
      <c r="AA125">
        <v>2022</v>
      </c>
      <c r="AB125">
        <v>2022</v>
      </c>
      <c r="AC125" s="24" t="s">
        <v>385</v>
      </c>
      <c r="AD125" t="s">
        <v>386</v>
      </c>
      <c r="AE125" t="s">
        <v>386</v>
      </c>
      <c r="AF125" t="s">
        <v>387</v>
      </c>
    </row>
    <row r="126" spans="1:55" ht="14.25" customHeight="1" x14ac:dyDescent="0.25">
      <c r="A126" t="s">
        <v>88</v>
      </c>
      <c r="B126" s="22" t="s">
        <v>618</v>
      </c>
      <c r="C126" t="s">
        <v>88</v>
      </c>
      <c r="D126" t="s">
        <v>389</v>
      </c>
      <c r="F126" t="s">
        <v>388</v>
      </c>
      <c r="G126" t="s">
        <v>382</v>
      </c>
      <c r="H126" t="s">
        <v>660</v>
      </c>
      <c r="I126">
        <v>1</v>
      </c>
      <c r="J126" t="s">
        <v>25</v>
      </c>
      <c r="M126" t="s">
        <v>26</v>
      </c>
      <c r="N126" t="s">
        <v>322</v>
      </c>
      <c r="O126" t="s">
        <v>35</v>
      </c>
      <c r="T126" t="s">
        <v>390</v>
      </c>
      <c r="U126" t="s">
        <v>391</v>
      </c>
      <c r="AA126">
        <v>2013</v>
      </c>
      <c r="AB126">
        <v>2013</v>
      </c>
      <c r="AC126" s="24" t="s">
        <v>392</v>
      </c>
      <c r="AD126" t="s">
        <v>393</v>
      </c>
      <c r="AE126" t="s">
        <v>393</v>
      </c>
      <c r="AF126" t="s">
        <v>394</v>
      </c>
    </row>
    <row r="127" spans="1:55" ht="14.25" customHeight="1" x14ac:dyDescent="0.25">
      <c r="A127" t="s">
        <v>172</v>
      </c>
      <c r="B127" s="22" t="s">
        <v>618</v>
      </c>
      <c r="C127" t="s">
        <v>172</v>
      </c>
      <c r="D127" t="s">
        <v>396</v>
      </c>
      <c r="F127" t="s">
        <v>395</v>
      </c>
      <c r="G127" t="s">
        <v>382</v>
      </c>
      <c r="H127" t="s">
        <v>664</v>
      </c>
      <c r="I127">
        <v>1</v>
      </c>
      <c r="J127" t="s">
        <v>25</v>
      </c>
      <c r="K127" t="s">
        <v>397</v>
      </c>
      <c r="M127" t="s">
        <v>26</v>
      </c>
      <c r="N127" t="s">
        <v>322</v>
      </c>
      <c r="O127" t="s">
        <v>314</v>
      </c>
      <c r="T127" t="s">
        <v>398</v>
      </c>
      <c r="U127" t="s">
        <v>399</v>
      </c>
      <c r="AA127">
        <v>2021</v>
      </c>
      <c r="AB127">
        <v>2021</v>
      </c>
      <c r="AC127" s="25" t="s">
        <v>385</v>
      </c>
      <c r="AD127" t="s">
        <v>400</v>
      </c>
      <c r="AE127" t="s">
        <v>400</v>
      </c>
      <c r="AF127" t="s">
        <v>401</v>
      </c>
    </row>
    <row r="128" spans="1:55" ht="14.25" customHeight="1" x14ac:dyDescent="0.25">
      <c r="A128" t="s">
        <v>88</v>
      </c>
      <c r="B128" s="22" t="s">
        <v>618</v>
      </c>
      <c r="C128" t="s">
        <v>88</v>
      </c>
      <c r="D128" t="s">
        <v>403</v>
      </c>
      <c r="F128" t="s">
        <v>402</v>
      </c>
      <c r="G128" t="s">
        <v>382</v>
      </c>
      <c r="H128" t="s">
        <v>660</v>
      </c>
      <c r="I128">
        <v>1</v>
      </c>
      <c r="J128" t="s">
        <v>25</v>
      </c>
      <c r="K128" t="s">
        <v>404</v>
      </c>
      <c r="M128" t="s">
        <v>26</v>
      </c>
      <c r="N128" t="s">
        <v>322</v>
      </c>
      <c r="O128" t="s">
        <v>35</v>
      </c>
      <c r="T128" t="s">
        <v>405</v>
      </c>
      <c r="U128" t="s">
        <v>406</v>
      </c>
      <c r="AA128">
        <v>2021</v>
      </c>
      <c r="AB128">
        <v>2021</v>
      </c>
      <c r="AC128" s="25" t="s">
        <v>385</v>
      </c>
      <c r="AD128" t="s">
        <v>407</v>
      </c>
      <c r="AE128" t="s">
        <v>407</v>
      </c>
      <c r="AF128" t="s">
        <v>408</v>
      </c>
    </row>
    <row r="129" spans="1:32" ht="14.25" customHeight="1" x14ac:dyDescent="0.25">
      <c r="A129" t="s">
        <v>410</v>
      </c>
      <c r="B129" s="22" t="s">
        <v>618</v>
      </c>
      <c r="C129" t="s">
        <v>410</v>
      </c>
      <c r="D129" t="s">
        <v>411</v>
      </c>
      <c r="F129" t="s">
        <v>409</v>
      </c>
      <c r="G129" t="s">
        <v>412</v>
      </c>
      <c r="H129" t="s">
        <v>660</v>
      </c>
      <c r="I129">
        <v>1</v>
      </c>
      <c r="J129" t="s">
        <v>25</v>
      </c>
      <c r="K129" t="s">
        <v>413</v>
      </c>
      <c r="M129" t="s">
        <v>26</v>
      </c>
      <c r="N129" t="s">
        <v>322</v>
      </c>
      <c r="O129" t="s">
        <v>776</v>
      </c>
      <c r="T129" t="s">
        <v>414</v>
      </c>
      <c r="U129" t="s">
        <v>415</v>
      </c>
      <c r="AA129">
        <v>2024</v>
      </c>
      <c r="AB129">
        <v>2024</v>
      </c>
      <c r="AC129" s="24" t="s">
        <v>416</v>
      </c>
      <c r="AD129" t="s">
        <v>417</v>
      </c>
      <c r="AE129" t="s">
        <v>417</v>
      </c>
      <c r="AF129" t="s">
        <v>418</v>
      </c>
    </row>
    <row r="130" spans="1:32" ht="14.25" customHeight="1" x14ac:dyDescent="0.25">
      <c r="A130" t="s">
        <v>420</v>
      </c>
      <c r="B130" s="22" t="s">
        <v>618</v>
      </c>
      <c r="C130" t="s">
        <v>135</v>
      </c>
      <c r="D130" t="s">
        <v>421</v>
      </c>
      <c r="F130" t="s">
        <v>419</v>
      </c>
      <c r="G130" t="s">
        <v>382</v>
      </c>
      <c r="H130" t="s">
        <v>660</v>
      </c>
      <c r="I130">
        <v>1</v>
      </c>
      <c r="J130" t="s">
        <v>25</v>
      </c>
      <c r="M130" t="s">
        <v>26</v>
      </c>
      <c r="N130" t="s">
        <v>322</v>
      </c>
      <c r="O130" t="s">
        <v>268</v>
      </c>
      <c r="T130" t="s">
        <v>422</v>
      </c>
      <c r="U130" t="s">
        <v>422</v>
      </c>
      <c r="AA130">
        <v>2023</v>
      </c>
      <c r="AB130">
        <v>2023</v>
      </c>
      <c r="AC130" s="25" t="s">
        <v>385</v>
      </c>
      <c r="AD130" t="s">
        <v>423</v>
      </c>
      <c r="AE130" t="s">
        <v>423</v>
      </c>
      <c r="AF130" t="s">
        <v>424</v>
      </c>
    </row>
    <row r="131" spans="1:32" ht="14.25" customHeight="1" x14ac:dyDescent="0.25">
      <c r="A131" t="s">
        <v>128</v>
      </c>
      <c r="B131" s="22" t="s">
        <v>618</v>
      </c>
      <c r="C131" t="s">
        <v>128</v>
      </c>
      <c r="D131" t="s">
        <v>426</v>
      </c>
      <c r="F131" t="s">
        <v>425</v>
      </c>
      <c r="G131" t="s">
        <v>382</v>
      </c>
      <c r="H131" t="s">
        <v>664</v>
      </c>
      <c r="I131">
        <v>1</v>
      </c>
      <c r="J131" t="s">
        <v>25</v>
      </c>
      <c r="M131" t="s">
        <v>26</v>
      </c>
      <c r="N131" t="s">
        <v>322</v>
      </c>
      <c r="O131" t="s">
        <v>314</v>
      </c>
      <c r="T131" t="s">
        <v>427</v>
      </c>
      <c r="U131" t="s">
        <v>428</v>
      </c>
      <c r="AA131">
        <v>2021</v>
      </c>
      <c r="AB131">
        <v>2021</v>
      </c>
      <c r="AC131" s="24" t="s">
        <v>429</v>
      </c>
      <c r="AD131" t="s">
        <v>430</v>
      </c>
      <c r="AE131" t="s">
        <v>430</v>
      </c>
      <c r="AF131" t="s">
        <v>431</v>
      </c>
    </row>
    <row r="132" spans="1:32" ht="14.25" customHeight="1" x14ac:dyDescent="0.25">
      <c r="A132" t="s">
        <v>128</v>
      </c>
      <c r="B132" s="22" t="s">
        <v>618</v>
      </c>
      <c r="C132" t="s">
        <v>128</v>
      </c>
      <c r="D132" t="s">
        <v>426</v>
      </c>
      <c r="F132" t="s">
        <v>432</v>
      </c>
      <c r="G132" t="s">
        <v>382</v>
      </c>
      <c r="H132" t="s">
        <v>664</v>
      </c>
      <c r="I132">
        <v>1</v>
      </c>
      <c r="J132" t="s">
        <v>25</v>
      </c>
      <c r="K132" t="s">
        <v>433</v>
      </c>
      <c r="M132" t="s">
        <v>26</v>
      </c>
      <c r="N132" t="s">
        <v>322</v>
      </c>
      <c r="O132" t="s">
        <v>314</v>
      </c>
      <c r="T132" t="s">
        <v>434</v>
      </c>
      <c r="U132" t="s">
        <v>391</v>
      </c>
      <c r="AA132">
        <v>2022</v>
      </c>
      <c r="AB132">
        <v>2022</v>
      </c>
      <c r="AC132" s="25" t="s">
        <v>273</v>
      </c>
      <c r="AD132" t="s">
        <v>430</v>
      </c>
      <c r="AE132" t="s">
        <v>430</v>
      </c>
      <c r="AF132" t="s">
        <v>435</v>
      </c>
    </row>
    <row r="133" spans="1:32" ht="14.25" customHeight="1" x14ac:dyDescent="0.25">
      <c r="A133" t="s">
        <v>83</v>
      </c>
      <c r="B133" s="22" t="s">
        <v>618</v>
      </c>
      <c r="C133" t="s">
        <v>83</v>
      </c>
      <c r="D133" t="s">
        <v>437</v>
      </c>
      <c r="F133" t="s">
        <v>436</v>
      </c>
      <c r="G133" t="s">
        <v>319</v>
      </c>
      <c r="H133" t="s">
        <v>665</v>
      </c>
      <c r="I133">
        <v>1</v>
      </c>
      <c r="J133" t="s">
        <v>25</v>
      </c>
      <c r="K133" t="s">
        <v>438</v>
      </c>
      <c r="M133" t="s">
        <v>26</v>
      </c>
      <c r="N133" t="s">
        <v>322</v>
      </c>
      <c r="O133" t="s">
        <v>35</v>
      </c>
      <c r="T133" t="s">
        <v>439</v>
      </c>
      <c r="U133" t="s">
        <v>391</v>
      </c>
      <c r="AA133">
        <v>2021</v>
      </c>
      <c r="AB133">
        <v>2021</v>
      </c>
      <c r="AC133" s="25" t="s">
        <v>440</v>
      </c>
      <c r="AD133" t="s">
        <v>441</v>
      </c>
      <c r="AE133" t="s">
        <v>441</v>
      </c>
      <c r="AF133" t="s">
        <v>442</v>
      </c>
    </row>
    <row r="134" spans="1:32" ht="14.25" customHeight="1" x14ac:dyDescent="0.25">
      <c r="A134" t="s">
        <v>83</v>
      </c>
      <c r="B134" s="22" t="s">
        <v>618</v>
      </c>
      <c r="C134" t="s">
        <v>83</v>
      </c>
      <c r="D134" t="s">
        <v>437</v>
      </c>
      <c r="F134" t="s">
        <v>443</v>
      </c>
      <c r="G134" t="s">
        <v>319</v>
      </c>
      <c r="H134" t="s">
        <v>665</v>
      </c>
      <c r="I134">
        <v>1</v>
      </c>
      <c r="J134" t="s">
        <v>25</v>
      </c>
      <c r="K134" t="s">
        <v>444</v>
      </c>
      <c r="M134" t="s">
        <v>39</v>
      </c>
      <c r="N134" t="s">
        <v>322</v>
      </c>
      <c r="O134" t="s">
        <v>35</v>
      </c>
      <c r="T134" t="s">
        <v>445</v>
      </c>
      <c r="U134" t="s">
        <v>446</v>
      </c>
      <c r="AA134">
        <v>2023</v>
      </c>
      <c r="AB134">
        <v>2023</v>
      </c>
      <c r="AC134" s="24" t="s">
        <v>385</v>
      </c>
      <c r="AD134" t="s">
        <v>441</v>
      </c>
      <c r="AE134" t="s">
        <v>441</v>
      </c>
      <c r="AF134" t="s">
        <v>447</v>
      </c>
    </row>
    <row r="135" spans="1:32" ht="14.25" customHeight="1" x14ac:dyDescent="0.25">
      <c r="A135" t="s">
        <v>83</v>
      </c>
      <c r="B135" s="22" t="s">
        <v>618</v>
      </c>
      <c r="C135" t="s">
        <v>83</v>
      </c>
      <c r="D135" t="s">
        <v>437</v>
      </c>
      <c r="F135" t="s">
        <v>448</v>
      </c>
      <c r="G135" t="s">
        <v>319</v>
      </c>
      <c r="H135" t="s">
        <v>665</v>
      </c>
      <c r="I135">
        <v>1</v>
      </c>
      <c r="J135" t="s">
        <v>25</v>
      </c>
      <c r="K135" t="s">
        <v>449</v>
      </c>
      <c r="M135" t="s">
        <v>39</v>
      </c>
      <c r="N135" t="s">
        <v>322</v>
      </c>
      <c r="O135" t="s">
        <v>35</v>
      </c>
      <c r="T135" t="s">
        <v>450</v>
      </c>
      <c r="U135" t="s">
        <v>451</v>
      </c>
      <c r="AA135">
        <v>2023</v>
      </c>
      <c r="AB135">
        <v>2023</v>
      </c>
      <c r="AC135" s="25" t="s">
        <v>429</v>
      </c>
      <c r="AD135" t="s">
        <v>441</v>
      </c>
      <c r="AE135" t="s">
        <v>441</v>
      </c>
      <c r="AF135" t="s">
        <v>452</v>
      </c>
    </row>
    <row r="136" spans="1:32" ht="14.25" customHeight="1" x14ac:dyDescent="0.25">
      <c r="A136" t="s">
        <v>172</v>
      </c>
      <c r="B136" s="22" t="s">
        <v>618</v>
      </c>
      <c r="C136" t="s">
        <v>172</v>
      </c>
      <c r="D136" t="s">
        <v>454</v>
      </c>
      <c r="F136" t="s">
        <v>453</v>
      </c>
      <c r="G136" t="s">
        <v>319</v>
      </c>
      <c r="H136" t="s">
        <v>660</v>
      </c>
      <c r="I136">
        <v>1</v>
      </c>
      <c r="J136" t="s">
        <v>25</v>
      </c>
      <c r="K136" t="s">
        <v>397</v>
      </c>
      <c r="M136" t="s">
        <v>26</v>
      </c>
      <c r="N136" t="s">
        <v>322</v>
      </c>
      <c r="O136" t="s">
        <v>455</v>
      </c>
      <c r="T136" t="s">
        <v>456</v>
      </c>
      <c r="U136" t="s">
        <v>457</v>
      </c>
      <c r="AA136">
        <v>2020</v>
      </c>
      <c r="AB136">
        <v>2020</v>
      </c>
      <c r="AC136" s="24" t="s">
        <v>458</v>
      </c>
      <c r="AD136" t="s">
        <v>459</v>
      </c>
      <c r="AE136" t="s">
        <v>459</v>
      </c>
      <c r="AF136" t="s">
        <v>460</v>
      </c>
    </row>
    <row r="137" spans="1:32" ht="14.25" customHeight="1" x14ac:dyDescent="0.25">
      <c r="A137" t="s">
        <v>20</v>
      </c>
      <c r="B137" s="22" t="s">
        <v>618</v>
      </c>
      <c r="C137" t="s">
        <v>20</v>
      </c>
      <c r="D137" t="s">
        <v>462</v>
      </c>
      <c r="F137" t="s">
        <v>461</v>
      </c>
      <c r="G137" t="s">
        <v>463</v>
      </c>
      <c r="H137" t="s">
        <v>666</v>
      </c>
      <c r="I137">
        <v>1</v>
      </c>
      <c r="J137" t="s">
        <v>25</v>
      </c>
      <c r="K137" t="s">
        <v>404</v>
      </c>
      <c r="M137" t="s">
        <v>26</v>
      </c>
      <c r="N137" t="s">
        <v>322</v>
      </c>
      <c r="O137" t="s">
        <v>776</v>
      </c>
      <c r="T137" t="s">
        <v>464</v>
      </c>
      <c r="U137" t="s">
        <v>465</v>
      </c>
      <c r="AA137">
        <v>2019</v>
      </c>
      <c r="AB137">
        <v>2019</v>
      </c>
      <c r="AC137" s="25" t="s">
        <v>385</v>
      </c>
      <c r="AD137" t="s">
        <v>466</v>
      </c>
      <c r="AE137" t="s">
        <v>466</v>
      </c>
      <c r="AF137" t="s">
        <v>467</v>
      </c>
    </row>
    <row r="138" spans="1:32" ht="14.25" customHeight="1" x14ac:dyDescent="0.25">
      <c r="A138" t="s">
        <v>20</v>
      </c>
      <c r="B138" s="22" t="s">
        <v>618</v>
      </c>
      <c r="C138" t="s">
        <v>20</v>
      </c>
      <c r="D138" t="s">
        <v>462</v>
      </c>
      <c r="F138" t="s">
        <v>468</v>
      </c>
      <c r="G138" t="s">
        <v>319</v>
      </c>
      <c r="H138" t="s">
        <v>666</v>
      </c>
      <c r="I138">
        <v>1</v>
      </c>
      <c r="J138" t="s">
        <v>25</v>
      </c>
      <c r="K138" t="s">
        <v>404</v>
      </c>
      <c r="M138" t="s">
        <v>26</v>
      </c>
      <c r="N138" t="s">
        <v>322</v>
      </c>
      <c r="O138" t="s">
        <v>776</v>
      </c>
      <c r="T138" t="s">
        <v>469</v>
      </c>
      <c r="U138" t="s">
        <v>470</v>
      </c>
      <c r="AA138">
        <v>2022</v>
      </c>
      <c r="AB138">
        <v>2022</v>
      </c>
      <c r="AC138" s="24" t="s">
        <v>385</v>
      </c>
      <c r="AD138" t="s">
        <v>471</v>
      </c>
      <c r="AE138" t="s">
        <v>471</v>
      </c>
      <c r="AF138" t="s">
        <v>472</v>
      </c>
    </row>
    <row r="139" spans="1:32" ht="14.25" customHeight="1" x14ac:dyDescent="0.25">
      <c r="A139" t="s">
        <v>88</v>
      </c>
      <c r="B139" s="22" t="s">
        <v>618</v>
      </c>
      <c r="C139" t="s">
        <v>88</v>
      </c>
      <c r="D139" t="s">
        <v>473</v>
      </c>
      <c r="F139" t="s">
        <v>473</v>
      </c>
      <c r="G139" t="s">
        <v>319</v>
      </c>
      <c r="H139" t="s">
        <v>667</v>
      </c>
      <c r="I139">
        <v>1</v>
      </c>
      <c r="J139" t="s">
        <v>25</v>
      </c>
      <c r="K139" t="s">
        <v>404</v>
      </c>
      <c r="M139" t="s">
        <v>26</v>
      </c>
      <c r="N139" t="s">
        <v>322</v>
      </c>
      <c r="O139" t="s">
        <v>776</v>
      </c>
      <c r="T139" t="s">
        <v>414</v>
      </c>
      <c r="U139" t="s">
        <v>464</v>
      </c>
      <c r="AA139">
        <v>2022</v>
      </c>
      <c r="AB139">
        <v>2022</v>
      </c>
      <c r="AC139" s="25" t="s">
        <v>474</v>
      </c>
      <c r="AD139" t="s">
        <v>475</v>
      </c>
      <c r="AE139" t="s">
        <v>475</v>
      </c>
      <c r="AF139" t="s">
        <v>476</v>
      </c>
    </row>
    <row r="140" spans="1:32" ht="14.25" customHeight="1" x14ac:dyDescent="0.25">
      <c r="A140" t="s">
        <v>135</v>
      </c>
      <c r="B140" s="22" t="s">
        <v>618</v>
      </c>
      <c r="C140" t="s">
        <v>135</v>
      </c>
      <c r="D140" t="s">
        <v>477</v>
      </c>
      <c r="F140" t="s">
        <v>477</v>
      </c>
      <c r="G140" t="s">
        <v>319</v>
      </c>
      <c r="H140" t="s">
        <v>668</v>
      </c>
      <c r="I140">
        <v>1</v>
      </c>
      <c r="J140" t="s">
        <v>25</v>
      </c>
      <c r="K140" t="s">
        <v>478</v>
      </c>
      <c r="M140" t="s">
        <v>26</v>
      </c>
      <c r="N140" t="s">
        <v>322</v>
      </c>
      <c r="O140" t="s">
        <v>268</v>
      </c>
      <c r="T140" t="s">
        <v>479</v>
      </c>
      <c r="U140" t="s">
        <v>480</v>
      </c>
      <c r="AA140">
        <v>2024</v>
      </c>
      <c r="AB140">
        <v>2024</v>
      </c>
      <c r="AC140" s="24" t="s">
        <v>481</v>
      </c>
      <c r="AD140" t="s">
        <v>482</v>
      </c>
      <c r="AE140" t="s">
        <v>482</v>
      </c>
      <c r="AF140" t="s">
        <v>483</v>
      </c>
    </row>
    <row r="141" spans="1:32" ht="14.25" customHeight="1" x14ac:dyDescent="0.25">
      <c r="A141" t="s">
        <v>172</v>
      </c>
      <c r="B141" s="22" t="s">
        <v>618</v>
      </c>
      <c r="C141" t="s">
        <v>172</v>
      </c>
      <c r="D141" t="s">
        <v>485</v>
      </c>
      <c r="F141" t="s">
        <v>484</v>
      </c>
      <c r="G141" t="s">
        <v>319</v>
      </c>
      <c r="H141" t="s">
        <v>669</v>
      </c>
      <c r="I141">
        <v>1</v>
      </c>
      <c r="J141" t="s">
        <v>25</v>
      </c>
      <c r="K141" t="s">
        <v>486</v>
      </c>
      <c r="M141" t="s">
        <v>26</v>
      </c>
      <c r="N141" t="s">
        <v>322</v>
      </c>
      <c r="O141" t="s">
        <v>776</v>
      </c>
      <c r="T141" t="s">
        <v>487</v>
      </c>
      <c r="U141" t="s">
        <v>488</v>
      </c>
      <c r="AA141">
        <v>2024</v>
      </c>
      <c r="AB141">
        <v>2024</v>
      </c>
      <c r="AC141" s="25" t="s">
        <v>489</v>
      </c>
      <c r="AD141" t="s">
        <v>490</v>
      </c>
      <c r="AE141" t="s">
        <v>490</v>
      </c>
      <c r="AF141" t="s">
        <v>491</v>
      </c>
    </row>
    <row r="142" spans="1:32" ht="14.25" customHeight="1" x14ac:dyDescent="0.25">
      <c r="A142" t="s">
        <v>410</v>
      </c>
      <c r="B142" s="22" t="s">
        <v>618</v>
      </c>
      <c r="C142" t="s">
        <v>410</v>
      </c>
      <c r="D142" t="s">
        <v>492</v>
      </c>
      <c r="F142" t="s">
        <v>492</v>
      </c>
      <c r="G142" t="s">
        <v>493</v>
      </c>
      <c r="H142" t="s">
        <v>668</v>
      </c>
      <c r="I142">
        <v>1</v>
      </c>
      <c r="J142" t="s">
        <v>25</v>
      </c>
      <c r="K142" t="s">
        <v>494</v>
      </c>
      <c r="M142" t="s">
        <v>26</v>
      </c>
      <c r="N142" t="s">
        <v>322</v>
      </c>
      <c r="O142" t="s">
        <v>35</v>
      </c>
      <c r="T142" t="s">
        <v>495</v>
      </c>
      <c r="U142" t="s">
        <v>495</v>
      </c>
      <c r="AA142">
        <v>2018</v>
      </c>
      <c r="AB142">
        <v>2018</v>
      </c>
      <c r="AC142" s="24" t="s">
        <v>496</v>
      </c>
      <c r="AD142" t="s">
        <v>497</v>
      </c>
      <c r="AE142" t="s">
        <v>497</v>
      </c>
      <c r="AF142" t="s">
        <v>498</v>
      </c>
    </row>
    <row r="143" spans="1:32" ht="14.25" customHeight="1" x14ac:dyDescent="0.25">
      <c r="A143" t="s">
        <v>129</v>
      </c>
      <c r="B143" s="22" t="s">
        <v>618</v>
      </c>
      <c r="C143" t="s">
        <v>129</v>
      </c>
      <c r="D143" t="s">
        <v>499</v>
      </c>
      <c r="F143" t="s">
        <v>499</v>
      </c>
      <c r="G143" t="s">
        <v>500</v>
      </c>
      <c r="H143" t="s">
        <v>668</v>
      </c>
      <c r="I143">
        <v>1</v>
      </c>
      <c r="J143" t="s">
        <v>25</v>
      </c>
      <c r="K143" t="s">
        <v>501</v>
      </c>
      <c r="M143" t="s">
        <v>26</v>
      </c>
      <c r="N143" t="s">
        <v>322</v>
      </c>
      <c r="O143" t="s">
        <v>776</v>
      </c>
      <c r="T143" t="s">
        <v>502</v>
      </c>
      <c r="U143" t="s">
        <v>503</v>
      </c>
      <c r="AA143">
        <v>2024</v>
      </c>
      <c r="AB143">
        <v>2024</v>
      </c>
      <c r="AC143" s="25" t="s">
        <v>474</v>
      </c>
      <c r="AD143" t="s">
        <v>504</v>
      </c>
      <c r="AE143" t="s">
        <v>504</v>
      </c>
      <c r="AF143" t="s">
        <v>505</v>
      </c>
    </row>
    <row r="144" spans="1:32" ht="14.25" customHeight="1" x14ac:dyDescent="0.25">
      <c r="A144" t="s">
        <v>172</v>
      </c>
      <c r="B144" s="22" t="s">
        <v>618</v>
      </c>
      <c r="C144" t="s">
        <v>172</v>
      </c>
      <c r="D144" t="s">
        <v>506</v>
      </c>
      <c r="E144" t="s">
        <v>739</v>
      </c>
      <c r="F144" t="s">
        <v>506</v>
      </c>
      <c r="G144" t="s">
        <v>319</v>
      </c>
      <c r="H144" t="s">
        <v>669</v>
      </c>
      <c r="I144">
        <v>1</v>
      </c>
      <c r="J144" t="s">
        <v>25</v>
      </c>
      <c r="K144" t="s">
        <v>486</v>
      </c>
      <c r="M144" t="s">
        <v>26</v>
      </c>
      <c r="N144" t="s">
        <v>322</v>
      </c>
      <c r="O144" t="s">
        <v>776</v>
      </c>
      <c r="T144" t="s">
        <v>507</v>
      </c>
      <c r="U144" t="s">
        <v>508</v>
      </c>
      <c r="AA144">
        <v>2021</v>
      </c>
      <c r="AB144">
        <v>2021</v>
      </c>
      <c r="AC144" s="24" t="s">
        <v>474</v>
      </c>
      <c r="AD144" t="s">
        <v>509</v>
      </c>
      <c r="AE144" t="s">
        <v>509</v>
      </c>
      <c r="AF144" t="s">
        <v>510</v>
      </c>
    </row>
    <row r="145" spans="1:32" ht="14.25" customHeight="1" x14ac:dyDescent="0.25">
      <c r="A145" t="s">
        <v>20</v>
      </c>
      <c r="B145" s="22" t="s">
        <v>618</v>
      </c>
      <c r="C145" t="s">
        <v>20</v>
      </c>
      <c r="D145" t="s">
        <v>462</v>
      </c>
      <c r="F145" t="s">
        <v>511</v>
      </c>
      <c r="G145" t="s">
        <v>319</v>
      </c>
      <c r="H145" t="s">
        <v>666</v>
      </c>
      <c r="I145">
        <v>1</v>
      </c>
      <c r="J145" t="s">
        <v>25</v>
      </c>
      <c r="K145" t="s">
        <v>404</v>
      </c>
      <c r="M145" t="s">
        <v>26</v>
      </c>
      <c r="N145" t="s">
        <v>322</v>
      </c>
      <c r="O145" t="s">
        <v>776</v>
      </c>
      <c r="T145" t="s">
        <v>512</v>
      </c>
      <c r="U145" t="s">
        <v>513</v>
      </c>
      <c r="AA145">
        <v>2021</v>
      </c>
      <c r="AB145">
        <v>2021</v>
      </c>
      <c r="AC145" s="25" t="s">
        <v>474</v>
      </c>
      <c r="AD145" t="s">
        <v>514</v>
      </c>
      <c r="AE145" t="s">
        <v>514</v>
      </c>
      <c r="AF145" t="s">
        <v>515</v>
      </c>
    </row>
    <row r="146" spans="1:32" ht="14.25" customHeight="1" x14ac:dyDescent="0.25">
      <c r="A146" t="s">
        <v>47</v>
      </c>
      <c r="B146" s="22" t="s">
        <v>618</v>
      </c>
      <c r="C146" t="s">
        <v>47</v>
      </c>
      <c r="D146" t="s">
        <v>516</v>
      </c>
      <c r="F146" t="s">
        <v>516</v>
      </c>
      <c r="G146" t="s">
        <v>319</v>
      </c>
      <c r="H146" t="s">
        <v>669</v>
      </c>
      <c r="I146">
        <v>1</v>
      </c>
      <c r="J146" t="s">
        <v>25</v>
      </c>
      <c r="K146" t="s">
        <v>517</v>
      </c>
      <c r="M146" t="s">
        <v>26</v>
      </c>
      <c r="N146" t="s">
        <v>322</v>
      </c>
      <c r="O146" t="s">
        <v>776</v>
      </c>
      <c r="T146" t="s">
        <v>518</v>
      </c>
      <c r="U146" t="s">
        <v>414</v>
      </c>
      <c r="AA146">
        <v>2024</v>
      </c>
      <c r="AB146">
        <v>2024</v>
      </c>
      <c r="AC146" s="24" t="s">
        <v>519</v>
      </c>
      <c r="AD146" t="s">
        <v>490</v>
      </c>
      <c r="AE146" t="s">
        <v>490</v>
      </c>
      <c r="AF146" t="s">
        <v>520</v>
      </c>
    </row>
    <row r="147" spans="1:32" ht="14.25" customHeight="1" x14ac:dyDescent="0.25">
      <c r="A147" t="s">
        <v>20</v>
      </c>
      <c r="B147" s="22" t="s">
        <v>618</v>
      </c>
      <c r="C147" t="s">
        <v>20</v>
      </c>
      <c r="D147" t="s">
        <v>521</v>
      </c>
      <c r="F147" t="s">
        <v>521</v>
      </c>
      <c r="G147" t="s">
        <v>319</v>
      </c>
      <c r="H147" t="s">
        <v>670</v>
      </c>
      <c r="I147">
        <v>1</v>
      </c>
      <c r="J147" t="s">
        <v>25</v>
      </c>
      <c r="K147" t="s">
        <v>522</v>
      </c>
      <c r="M147" t="s">
        <v>26</v>
      </c>
      <c r="N147" t="s">
        <v>322</v>
      </c>
      <c r="O147" t="s">
        <v>776</v>
      </c>
      <c r="T147" t="s">
        <v>390</v>
      </c>
      <c r="U147" t="s">
        <v>523</v>
      </c>
      <c r="AA147">
        <v>2019</v>
      </c>
      <c r="AB147">
        <v>2019</v>
      </c>
      <c r="AC147" s="25" t="s">
        <v>489</v>
      </c>
      <c r="AD147" t="s">
        <v>524</v>
      </c>
      <c r="AE147" t="s">
        <v>524</v>
      </c>
      <c r="AF147" t="s">
        <v>525</v>
      </c>
    </row>
    <row r="148" spans="1:32" ht="14.25" customHeight="1" x14ac:dyDescent="0.25">
      <c r="A148" t="s">
        <v>172</v>
      </c>
      <c r="B148" s="22" t="s">
        <v>618</v>
      </c>
      <c r="C148" t="s">
        <v>172</v>
      </c>
      <c r="D148" t="s">
        <v>485</v>
      </c>
      <c r="E148" t="s">
        <v>739</v>
      </c>
      <c r="F148" t="s">
        <v>485</v>
      </c>
      <c r="G148" t="s">
        <v>526</v>
      </c>
      <c r="H148" t="s">
        <v>669</v>
      </c>
      <c r="I148">
        <v>1</v>
      </c>
      <c r="J148" t="s">
        <v>25</v>
      </c>
      <c r="K148" t="s">
        <v>486</v>
      </c>
      <c r="M148" t="s">
        <v>26</v>
      </c>
      <c r="N148" t="s">
        <v>322</v>
      </c>
      <c r="O148" t="s">
        <v>776</v>
      </c>
      <c r="T148" t="s">
        <v>527</v>
      </c>
      <c r="U148" t="s">
        <v>528</v>
      </c>
      <c r="AA148">
        <v>2023</v>
      </c>
      <c r="AB148">
        <v>2023</v>
      </c>
      <c r="AC148" s="24" t="s">
        <v>385</v>
      </c>
      <c r="AD148" t="s">
        <v>529</v>
      </c>
      <c r="AE148" t="s">
        <v>529</v>
      </c>
      <c r="AF148" t="s">
        <v>530</v>
      </c>
    </row>
    <row r="149" spans="1:32" ht="14.25" customHeight="1" x14ac:dyDescent="0.25">
      <c r="A149" t="s">
        <v>20</v>
      </c>
      <c r="B149" s="22" t="s">
        <v>618</v>
      </c>
      <c r="C149" t="s">
        <v>20</v>
      </c>
      <c r="D149" t="s">
        <v>531</v>
      </c>
      <c r="F149" t="s">
        <v>531</v>
      </c>
      <c r="G149" t="s">
        <v>319</v>
      </c>
      <c r="H149" t="s">
        <v>671</v>
      </c>
      <c r="I149">
        <v>1</v>
      </c>
      <c r="J149" t="s">
        <v>25</v>
      </c>
      <c r="K149" t="s">
        <v>522</v>
      </c>
      <c r="M149" t="s">
        <v>26</v>
      </c>
      <c r="N149" t="s">
        <v>322</v>
      </c>
      <c r="O149" t="s">
        <v>777</v>
      </c>
      <c r="T149" t="s">
        <v>532</v>
      </c>
      <c r="U149" t="s">
        <v>533</v>
      </c>
      <c r="AA149">
        <v>2019</v>
      </c>
      <c r="AB149">
        <v>2019</v>
      </c>
      <c r="AC149" s="25" t="s">
        <v>474</v>
      </c>
      <c r="AD149" t="s">
        <v>524</v>
      </c>
      <c r="AE149" t="s">
        <v>524</v>
      </c>
      <c r="AF149" t="s">
        <v>534</v>
      </c>
    </row>
    <row r="150" spans="1:32" ht="14.25" customHeight="1" x14ac:dyDescent="0.25">
      <c r="A150" t="s">
        <v>88</v>
      </c>
      <c r="B150" s="22" t="s">
        <v>618</v>
      </c>
      <c r="C150" t="s">
        <v>88</v>
      </c>
      <c r="D150" t="s">
        <v>535</v>
      </c>
      <c r="F150" t="s">
        <v>535</v>
      </c>
      <c r="G150" t="s">
        <v>319</v>
      </c>
      <c r="H150" t="s">
        <v>672</v>
      </c>
      <c r="I150">
        <v>1</v>
      </c>
      <c r="J150" t="s">
        <v>25</v>
      </c>
      <c r="K150" t="s">
        <v>522</v>
      </c>
      <c r="M150" t="s">
        <v>26</v>
      </c>
      <c r="N150" t="s">
        <v>322</v>
      </c>
      <c r="O150" t="s">
        <v>776</v>
      </c>
      <c r="T150" t="s">
        <v>536</v>
      </c>
      <c r="U150" t="s">
        <v>537</v>
      </c>
      <c r="AA150">
        <v>2023</v>
      </c>
      <c r="AB150">
        <v>2023</v>
      </c>
      <c r="AC150" s="24" t="s">
        <v>538</v>
      </c>
      <c r="AD150" t="s">
        <v>539</v>
      </c>
      <c r="AE150" t="s">
        <v>539</v>
      </c>
      <c r="AF150" t="s">
        <v>540</v>
      </c>
    </row>
    <row r="151" spans="1:32" ht="14.25" customHeight="1" x14ac:dyDescent="0.25">
      <c r="A151" t="s">
        <v>78</v>
      </c>
      <c r="B151" s="22" t="s">
        <v>618</v>
      </c>
      <c r="C151" t="s">
        <v>78</v>
      </c>
      <c r="D151" t="s">
        <v>542</v>
      </c>
      <c r="F151" t="s">
        <v>541</v>
      </c>
      <c r="G151" t="s">
        <v>319</v>
      </c>
      <c r="H151" t="s">
        <v>673</v>
      </c>
      <c r="I151">
        <v>1</v>
      </c>
      <c r="J151" t="s">
        <v>25</v>
      </c>
      <c r="K151" t="s">
        <v>543</v>
      </c>
      <c r="M151" t="s">
        <v>26</v>
      </c>
      <c r="N151" t="s">
        <v>322</v>
      </c>
      <c r="O151" t="s">
        <v>776</v>
      </c>
      <c r="T151" t="s">
        <v>544</v>
      </c>
      <c r="U151" t="s">
        <v>545</v>
      </c>
      <c r="AA151">
        <v>2021</v>
      </c>
      <c r="AB151">
        <v>2021</v>
      </c>
      <c r="AC151" s="25" t="s">
        <v>385</v>
      </c>
      <c r="AD151" t="s">
        <v>546</v>
      </c>
      <c r="AE151" t="s">
        <v>546</v>
      </c>
      <c r="AF151" t="s">
        <v>547</v>
      </c>
    </row>
    <row r="152" spans="1:32" ht="14.25" customHeight="1" x14ac:dyDescent="0.25">
      <c r="A152" t="s">
        <v>78</v>
      </c>
      <c r="B152" s="22" t="s">
        <v>618</v>
      </c>
      <c r="C152" t="s">
        <v>78</v>
      </c>
      <c r="D152" t="s">
        <v>548</v>
      </c>
      <c r="F152" t="s">
        <v>548</v>
      </c>
      <c r="G152" t="s">
        <v>319</v>
      </c>
      <c r="H152" t="s">
        <v>673</v>
      </c>
      <c r="I152">
        <v>1</v>
      </c>
      <c r="J152" t="s">
        <v>25</v>
      </c>
      <c r="K152" t="s">
        <v>543</v>
      </c>
      <c r="M152" t="s">
        <v>26</v>
      </c>
      <c r="N152" t="s">
        <v>322</v>
      </c>
      <c r="O152" t="s">
        <v>35</v>
      </c>
      <c r="T152" t="s">
        <v>549</v>
      </c>
      <c r="U152" t="s">
        <v>550</v>
      </c>
      <c r="AA152">
        <v>2022</v>
      </c>
      <c r="AB152">
        <v>2022</v>
      </c>
      <c r="AC152" s="25" t="s">
        <v>385</v>
      </c>
      <c r="AD152" t="s">
        <v>551</v>
      </c>
      <c r="AE152" t="s">
        <v>551</v>
      </c>
      <c r="AF152" t="s">
        <v>552</v>
      </c>
    </row>
    <row r="153" spans="1:32" ht="13.35" customHeight="1" x14ac:dyDescent="0.25">
      <c r="B153" s="22"/>
      <c r="N153" s="23"/>
      <c r="AC153" s="24"/>
    </row>
  </sheetData>
  <phoneticPr fontId="13" type="noConversion"/>
  <hyperlinks>
    <hyperlink ref="AE44" r:id="rId1" xr:uid="{CFA5EA85-7DC8-42EB-9847-88B5A972004D}"/>
    <hyperlink ref="AD46" r:id="rId2" xr:uid="{8AA6965E-4C90-41B0-A0E0-9AC9C33B871F}"/>
    <hyperlink ref="AD48" r:id="rId3" xr:uid="{446218AD-AD1F-44F3-87EA-7C01ADD336AE}"/>
    <hyperlink ref="AE50" r:id="rId4" xr:uid="{1CF668F5-5470-47D6-BA43-91D89D3B645B}"/>
    <hyperlink ref="AE51" r:id="rId5" xr:uid="{3F930189-1347-48B0-A67E-79B43333C9AF}"/>
    <hyperlink ref="AD52" r:id="rId6" xr:uid="{0A3FD528-91B5-4B67-8B6A-8FC8400440A9}"/>
    <hyperlink ref="AD55" r:id="rId7" location="/metadata/e5ee1252-858f-4c3e-8613-4bce7d304fb0" xr:uid="{9A6EC95D-5585-4455-83F8-B518B3DB25D9}"/>
    <hyperlink ref="AE49" r:id="rId8" display="https://www.lgln.niedersachsen.de/startseite/geodaten_karten/3d_geobasisdaten/3d_messdaten/3d-messdaten-142870.html" xr:uid="{AE776451-AEAC-49A3-922F-048CAD2DE3E6}"/>
    <hyperlink ref="AE29" r:id="rId9" xr:uid="{74BFA2E4-A94A-49A7-AFF2-8E5CB4ACB207}"/>
    <hyperlink ref="AE34" r:id="rId10" xr:uid="{B7CAF5FD-EFC0-43C1-B044-8871A20C5DDD}"/>
    <hyperlink ref="AE37" r:id="rId11" display="https://www.maanmittauslaitos.fi/en/maps-and-spatial-data/datasets-and-interfaces/product-descriptions/laser-scanning-data-5-p" xr:uid="{456A42B5-67E7-44FE-AEF5-885253845C2E}"/>
    <hyperlink ref="AE89" r:id="rId12" display="http://www.geoportal.gov.pl/" xr:uid="{E5D57098-D14E-4946-B13A-A6E83A3D9D18}"/>
    <hyperlink ref="AE90" r:id="rId13" xr:uid="{CD13DC54-41F2-4CF1-AFB3-9C4615C68E85}"/>
    <hyperlink ref="AE106" r:id="rId14" display="https://mapy.tuzvo.sk/HOFM/Default.aspx" xr:uid="{15A6DF30-3811-4303-9375-96A4B804DF5D}"/>
    <hyperlink ref="AE66" r:id="rId15" xr:uid="{446F9509-653E-4B78-B8D4-27A5756BAAED}"/>
    <hyperlink ref="AE86" r:id="rId16" xr:uid="{4A989022-8F50-4BCE-AED9-A80DB141D2BB}"/>
    <hyperlink ref="AD87" r:id="rId17" xr:uid="{AC6BAC0E-0CA4-468D-95AA-6DF61DB6C516}"/>
    <hyperlink ref="AE63" r:id="rId18" xr:uid="{6E6C4691-D80A-4F8B-B16C-5B1FA945EC9B}"/>
    <hyperlink ref="AE62" r:id="rId19" xr:uid="{8A9CA878-9D50-4345-9CF6-15AE38D0E145}"/>
    <hyperlink ref="AE60" r:id="rId20" xr:uid="{1901DA5F-6236-49EB-A790-5BD37AC78A9D}"/>
    <hyperlink ref="AE118" r:id="rId21" xr:uid="{2CF31FC9-D426-4577-8B4E-001D2BDE6E16}"/>
    <hyperlink ref="AE69" r:id="rId22" xr:uid="{37ACB890-91DB-4992-A7AB-266CEA3AC5E4}"/>
    <hyperlink ref="AE65" r:id="rId23" xr:uid="{5B58EF3A-021C-4936-B60B-072A982500BF}"/>
    <hyperlink ref="AE114" r:id="rId24" xr:uid="{9E055614-619B-48FD-AE6E-99BB0E541902}"/>
    <hyperlink ref="G53" r:id="rId25" display="https://www.govdata.de/dl-de/by-2-0" xr:uid="{37FC9E95-4E44-4D1D-8FDC-5388A573B6F9}"/>
    <hyperlink ref="G54" r:id="rId26" display="https://www.govdata.de/dl-de/by-2-0" xr:uid="{BB08F31F-7ADD-4A27-99C9-A0F488DCCE3F}"/>
    <hyperlink ref="G52" r:id="rId27" display="https://www.govdata.de/dl-de/by-2-0" xr:uid="{CF6B21D7-FFC7-4BC9-83B3-90D0941264AE}"/>
    <hyperlink ref="G51" r:id="rId28" display="https://www.govdata.de/dl-de/by-2-0" xr:uid="{A2CCDEAF-987B-47F6-A2F0-95ECB6DDFAA8}"/>
    <hyperlink ref="G50" r:id="rId29" display="https://www.govdata.de/dl-de/by-2-0" xr:uid="{48558C8C-A636-410C-B334-82FE872911A9}"/>
    <hyperlink ref="G49" r:id="rId30" display="https://www.govdata.de/dl-de/by-2-0" xr:uid="{293C7D31-6514-486A-897A-25D1CD5AAF62}"/>
    <hyperlink ref="G47" r:id="rId31" display="https://www.govdata.de/dl-de/by-2-0" xr:uid="{16EACF28-80B3-43B4-B4AA-AC4EFD467824}"/>
    <hyperlink ref="G46" r:id="rId32" display="https://www.govdata.de/dl-de/by-2-0" xr:uid="{3122CD42-4355-4622-8A68-A12B9F6E3045}"/>
    <hyperlink ref="G44" r:id="rId33" display="https://www.govdata.de/dl-de/by-2-0" xr:uid="{6464113E-B491-45C1-A0F9-1BD65AF655D0}"/>
    <hyperlink ref="G42" r:id="rId34" display="https://www.govdata.de/dl-de/by-2-0" xr:uid="{B250339B-DB74-42B6-81D7-95421E19AB4B}"/>
    <hyperlink ref="G41" r:id="rId35" display="https://www.govdata.de/dl-de/by-2-0" xr:uid="{8115C004-E903-4AE1-ADDC-DED41AE10FBF}"/>
    <hyperlink ref="G55" r:id="rId36" display="https://www.govdata.de/dl-de/by-2-0" xr:uid="{FDFC5CB1-F77F-4C76-8252-5A1317E6AD29}"/>
    <hyperlink ref="AD11" r:id="rId37" xr:uid="{041516D3-6F71-4C75-85E1-D6153593A6AB}"/>
    <hyperlink ref="AE20" r:id="rId38" xr:uid="{D54A949E-2BBE-4138-853C-2949F6B70706}"/>
    <hyperlink ref="AE28" r:id="rId39" xr:uid="{EDA49BBE-8FCB-45AB-A321-A6A2F9792D47}"/>
    <hyperlink ref="AE33" r:id="rId40" xr:uid="{A07A76ED-F8B6-4CB0-A974-E6E3D94BFD77}"/>
    <hyperlink ref="AE32" r:id="rId41" xr:uid="{C7958B17-31EC-456E-906B-8FD8F250A239}"/>
    <hyperlink ref="AE31" r:id="rId42" xr:uid="{EAA56C18-E86C-4F18-96D6-16C7CC02F371}"/>
    <hyperlink ref="AE36" r:id="rId43" display="https://www.maanmittauslaitos.fi/en/maps-and-spatial-data/datasets-and-interfaces/product-descriptions/laser-scanning-data-5-p" xr:uid="{55A9F67A-59B0-4CC8-9953-5740956261BB}"/>
    <hyperlink ref="AE107" r:id="rId44" xr:uid="{5254DD38-3F9A-49D5-B2A2-C4806B8E80BC}"/>
    <hyperlink ref="AE111" r:id="rId45" xr:uid="{A6019805-FB14-42D4-8048-00808E12EA2F}"/>
    <hyperlink ref="AE110" r:id="rId46" xr:uid="{687006E3-EC1C-4C5C-8531-DF65457D08CF}"/>
    <hyperlink ref="AE109" r:id="rId47" xr:uid="{1539A9BF-BF94-4C6A-AAE8-73CA78396857}"/>
    <hyperlink ref="G113" r:id="rId48" xr:uid="{0FB69347-FF3F-4126-AB7F-E87780283DF5}"/>
    <hyperlink ref="AE117" r:id="rId49" xr:uid="{E5B8B4DE-6973-4B89-91DE-3E00F8AEFB59}"/>
    <hyperlink ref="E109" r:id="rId50" display="https://datos.gob.es/en/catalogo/conjuntos-datos?publisher_display_name=Centro+Nacional+de+Informaci%C3%B3n+Geogr%C3%A1fica" xr:uid="{7365ADBD-5ACE-45AD-885F-A74F00BE2BE4}"/>
    <hyperlink ref="E110" r:id="rId51" display="https://datos.gob.es/en/catalogo/conjuntos-datos?publisher_display_name=Centro+Nacional+de+Informaci%C3%B3n+Geogr%C3%A1fica" xr:uid="{09A02776-ABBD-4C52-9683-5D6F6E3BF499}"/>
    <hyperlink ref="E111" r:id="rId52" display="https://datos.gob.es/en/catalogo/conjuntos-datos?publisher_display_name=Centro+Nacional+de+Informaci%C3%B3n+Geogr%C3%A1fica" xr:uid="{08C75D73-238F-47DC-8A31-84B2B494A654}"/>
    <hyperlink ref="AD45" r:id="rId53" xr:uid="{4502036E-C7F2-4430-A59C-55FFB0498561}"/>
    <hyperlink ref="AE45" r:id="rId54" display="https://www.geo.bremen.de/produkte/3d-produkte/hoehenmodelle-12482" xr:uid="{B7ACF26F-4695-4981-AAFB-8435C1D243BD}"/>
    <hyperlink ref="AE46" r:id="rId55" display="https://geoportal-hamburg.de/?mdid=A39B4E86-15E2-4BF7-BA82-66F9913D5640" xr:uid="{918D13B2-ACEB-4FF0-9962-84564036F47F}"/>
    <hyperlink ref="AD47" r:id="rId56" display="https://hvbg.hessen.de/landesvermessung/geotopographie/3d-daten" xr:uid="{960E7911-96C4-4210-8E78-59AC590462BC}"/>
    <hyperlink ref="AE47" r:id="rId57" display="https://hvbg.hessen.de/landesvermessung/geotopographie/3d-daten/airborne-laserscanning" xr:uid="{A68935A3-C691-4FA8-8CDF-E346695D1AA0}"/>
    <hyperlink ref="AE48" r:id="rId58" display="https://laiv.geodaten-mv.de/afgvk/Geotopographie/Beschreibung?produkt=DGM" xr:uid="{59781102-C76D-403B-A1DE-0AF806743BA7}"/>
    <hyperlink ref="AD50" r:id="rId59" display="https://www.bezreg-koeln.nrw.de/geobasis-nrw/produkte-und-dienste/hoehenmodelle/3d-messdaten" xr:uid="{31C7E9D2-1DC2-4D88-BF86-8DE5D94FA08F}"/>
    <hyperlink ref="AD51" r:id="rId60" display="https://lvermgeo.rlp.de/fileadmin/lvermgeo/pdf/produktblaetter/Laserpunkte.pdf" xr:uid="{7F03C2B5-A2AD-445B-A6C9-6D66713B6B45}"/>
    <hyperlink ref="E46" r:id="rId61" tooltip="Landesbetrieb Geoinformation und Vermessung (LGV) Hamburg" display="https://metaver.de/trefferanzeige?docuuid=F5A1078F-25C2-4111-B497-877CDCACD9D5&amp;isAddress=true" xr:uid="{D2056086-CB59-4408-9629-A60CE9BDBF6E}"/>
    <hyperlink ref="AE52" r:id="rId62" display="https://www.shop.lvgl.saarland.de/mogi3d/" xr:uid="{A91A4D93-B8C2-435C-94E6-D7EC9E42F2CC}"/>
    <hyperlink ref="AD53" r:id="rId63" display="https://www.landesvermessung.sachsen.de/hoehen-und-3d-stadtmodelle-8641.html" xr:uid="{79DA967D-B23C-4603-B495-CDCB4EBFA731}"/>
    <hyperlink ref="AE53" r:id="rId64" display="https://www.landesvermessung.sachsen.de/download-dienste-und-testdaten-8647.html" xr:uid="{06A21756-C57E-45D0-9F28-4B33051712DF}"/>
    <hyperlink ref="AD54" r:id="rId65" display="https://www.lvermgeo.sachsen-anhalt.de/de/gdp-3d-messdaten.html" xr:uid="{31CB0E60-5735-46A9-A6B1-DD16F449AF0F}"/>
    <hyperlink ref="AE54" r:id="rId66" display="https://www.lvermgeo.sachsen-anhalt.de/de/gdp-open-data.html" xr:uid="{EAB526EA-6D93-4E0B-BB49-120EA6EF844A}"/>
    <hyperlink ref="AE55" r:id="rId67" location="/metadata/263977c3-2684-4335-b55a-992b8c0fd054" display="https://gdk.gdi-de.org/geonetwork/srv/eng/catalog.search - /metadata/263977c3-2684-4335-b55a-992b8c0fd054" xr:uid="{BD23C9A1-CAF3-456B-976F-580AD6CF46B9}"/>
    <hyperlink ref="E55" r:id="rId68" display="https://www.gdi-sh.de/gdish/DE/AufgabenZiele/SHMIS.html" xr:uid="{04DBF5A2-4071-430E-B01F-1DDF71F0B8AF}"/>
    <hyperlink ref="AE58" r:id="rId69" display="https://geoportal.thueringen.de/gdi-th/download-offene-geodaten/download-hoehendaten" xr:uid="{14DBEA92-4DD7-4716-BB9F-D85ACA9A3235}"/>
    <hyperlink ref="AE57" r:id="rId70" display="https://geoportal.thueringen.de/gdi-th/download-offene-geodaten/download-hoehendaten" xr:uid="{DC2A07FF-E635-43BC-ADE5-B2CF445C7ACC}"/>
    <hyperlink ref="AE56" r:id="rId71" display="https://geoportal.thueringen.de/gdi-th/download-offene-geodaten/download-hoehendaten" xr:uid="{66F83B53-E6F9-4697-8F4A-E5FEB82307F6}"/>
  </hyperlinks>
  <pageMargins left="0.7" right="0.7" top="0.75" bottom="0.75" header="0.3" footer="0.3"/>
  <pageSetup paperSize="9" orientation="portrait" r:id="rId72"/>
</worksheet>
</file>

<file path=docMetadata/LabelInfo.xml><?xml version="1.0" encoding="utf-8"?>
<clbl:labelList xmlns:clbl="http://schemas.microsoft.com/office/2020/mipLabelMetadata">
  <clbl:label id="{ac843cea-7a2b-4dc6-9f37-919c3e210fed}" enabled="0" method="" siteId="{ac843cea-7a2b-4dc6-9f37-919c3e210fed}"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Werkbladen</vt:lpstr>
      </vt:variant>
      <vt:variant>
        <vt:i4>1</vt:i4>
      </vt:variant>
      <vt:variant>
        <vt:lpstr>Benoemde bereiken</vt:lpstr>
      </vt:variant>
      <vt:variant>
        <vt:i4>1</vt:i4>
      </vt:variant>
    </vt:vector>
  </HeadingPairs>
  <TitlesOfParts>
    <vt:vector size="2" baseType="lpstr">
      <vt:lpstr>Quality_parameters_v12032026</vt:lpstr>
      <vt:lpstr>Quality_parameters_v12032026!_Toc202360145</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Daan van der Heide</dc:creator>
  <cp:keywords/>
  <dc:description/>
  <cp:lastModifiedBy>Daan van der Heide</cp:lastModifiedBy>
  <cp:revision/>
  <dcterms:created xsi:type="dcterms:W3CDTF">2025-03-21T09:54:38Z</dcterms:created>
  <dcterms:modified xsi:type="dcterms:W3CDTF">2026-04-24T22:15:51Z</dcterms:modified>
  <cp:category/>
  <cp:contentStatus/>
</cp:coreProperties>
</file>